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48c96438e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52379ee15544672"/>
    <x:sheet xmlns:r="http://schemas.openxmlformats.org/officeDocument/2006/relationships" name="Matriz de Riscos" sheetId="2" r:id="Re93f410b67454e6d"/>
    <x:sheet xmlns:r="http://schemas.openxmlformats.org/officeDocument/2006/relationships" name="Checklist" sheetId="3" r:id="R7c19673676e24b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6">
    <x:font>
      <x:sz val="11"/>
      <x:name val="Carlito"/>
    </x:font>
    <x:font>
      <x:sz val="11"/>
      <x:color rgb="FF24382C"/>
      <x:name val="Arial"/>
    </x:font>
    <x:font>
      <x:b/>
      <x:sz val="17"/>
      <x:color rgb="FF14542F"/>
      <x:name val="Arial"/>
    </x:font>
    <x:font>
      <x:b/>
      <x:sz val="11"/>
      <x:color rgb="FFFFFFFF"/>
      <x:name val="Arial"/>
    </x:font>
    <x:font>
      <x:b/>
      <x:sz val="13"/>
      <x:color rgb="FF14542F"/>
      <x:name val="Arial"/>
    </x:font>
    <x:font>
      <x:b/>
      <x:sz val="11"/>
      <x:color rgb="FF24382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542F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9">
    <x:dxf>
      <x:font>
        <x:b/>
        <x:color rgb="FF14542F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2E17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1C6B37"/>
      </x:font>
      <x:fill>
        <x:patternFill patternType="solid">
          <x:bgColor rgb="FFD9EAD3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C00"/>
      </x:font>
      <x:fill>
        <x:patternFill patternType="solid">
          <x:bgColor rgb="FFFCE4D6"/>
        </x:patternFill>
      </x:fill>
    </x:dxf>
    <x:dxf>
      <x:font>
        <x:b/>
        <x:color rgb="FFA61C00"/>
      </x:font>
      <x:fill>
        <x:patternFill patternType="solid">
          <x:bgColor rgb="FFFCE4D6"/>
        </x:patternFill>
      </x:fill>
    </x:dxf>
    <x:dxf>
      <x:font>
        <x:b/>
        <x:color rgb="FF1C6B37"/>
      </x:font>
      <x:fill>
        <x:patternFill patternType="solid">
          <x:bgColor rgb="FFD9EAD3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C00"/>
      </x:font>
      <x:fill>
        <x:patternFill patternType="solid">
          <x:bgColor rgb="FFFCE4D6"/>
        </x:patternFill>
      </x:fill>
    </x:dxf>
    <x:dxf>
      <x:font>
        <x:b/>
        <x:color rgb="FFA61C00"/>
      </x:font>
      <x:fill>
        <x:patternFill patternType="solid">
          <x:bgColor rgb="FFFCE4D6"/>
        </x:patternFill>
      </x:fill>
    </x:dxf>
    <x:dxf>
      <x:font>
        <x:b/>
        <x:color rgb="FF1C6B37"/>
      </x:font>
      <x:fill>
        <x:patternFill patternType="solid">
          <x:bgColor rgb="FFD9EAD3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C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2ee44ae18a4826" /><Relationship Type="http://schemas.openxmlformats.org/officeDocument/2006/relationships/theme" Target="/xl/theme/theme1.xml" Id="R60940034c4a54e2f" /><Relationship Type="http://schemas.openxmlformats.org/officeDocument/2006/relationships/sharedStrings" Target="/xl/sharedStrings.xml" Id="R9ac4ab741c0b4a5c" /><Relationship Type="http://schemas.openxmlformats.org/officeDocument/2006/relationships/worksheet" Target="/xl/worksheets/sheet1.xml" Id="Re52379ee15544672" /><Relationship Type="http://schemas.openxmlformats.org/officeDocument/2006/relationships/worksheet" Target="/xl/worksheets/sheet2.xml" Id="Re93f410b67454e6d" /><Relationship Type="http://schemas.openxmlformats.org/officeDocument/2006/relationships/worksheet" Target="/xl/worksheets/sheet3.xml" Id="R7c19673676e24b2b" /></Relationships>
</file>

<file path=xl/tables/table1.xml><?xml version="1.0" encoding="utf-8"?>
<x:table xmlns:x="http://schemas.openxmlformats.org/spreadsheetml/2006/main" id="1" name="MatrizSeguranca" displayName="MatrizSeguranca" ref="A5:M19" headerRowCount="1" totalsRowCount="0" totalsRowShown="0">
  <x:tableColumns count="13">
    <x:tableColumn id="1" name="ID"/>
    <x:tableColumn id="2" name="Risco"/>
    <x:tableColumn id="3" name="Probabilidade inicial¹"/>
    <x:tableColumn id="4" name="Impacto inicial¹"/>
    <x:tableColumn id="5" name="Antes"/>
    <x:tableColumn id="6" name="Controle atual"/>
    <x:tableColumn id="7" name="Status no código"/>
    <x:tableColumn id="8" name="Risco remanescente"/>
    <x:tableColumn id="9" name="Próxima ação"/>
    <x:tableColumn id="10" name="Responsável"/>
    <x:tableColumn id="11" name="Prazo acordado"/>
    <x:tableColumn id="12" name="Produção"/>
    <x:tableColumn id="13" name="Prioridade sugerida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hecklistSeguranca" displayName="ChecklistSeguranca" ref="A5:H19" headerRowCount="1" totalsRowCount="0" totalsRowShown="0">
  <x:tableColumns count="8">
    <x:tableColumn id="1" name="ID risco"/>
    <x:tableColumn id="2" name="Teste / aceite"/>
    <x:tableColumn id="3" name="Resultado"/>
    <x:tableColumn id="4" name="Evidência / limite"/>
    <x:tableColumn id="5" name="Responsável"/>
    <x:tableColumn id="6" name="Data do teste"/>
    <x:tableColumn id="7" name="Ambiente"/>
    <x:tableColumn id="8" name="Próximo passo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00bdcb2bc141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2b2c9b494f4d36" /></Relationships>
</file>

<file path=xl/worksheets/sheet1.xml><?xml version="1.0" encoding="utf-8"?>
<x:worksheet xmlns:x="http://schemas.openxmlformats.org/spreadsheetml/2006/main">
  <x:sheetPr>
    <x:tabColor rgb="FF14542F"/>
  </x:sheetPr>
  <x:sheetViews>
    <x:sheetView showGridLines="0" workbookViewId="0"/>
  </x:sheetViews>
  <x:sheetFormatPr defaultRowHeight="15"/>
  <x:cols>
    <x:col min="1" max="1" width="43" hidden="0" customWidth="1"/>
    <x:col min="2" max="2" width="13" hidden="0" customWidth="1"/>
    <x:col min="3" max="3" width="4" hidden="0" customWidth="1"/>
    <x:col min="4" max="4" width="30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PETJOYFUL — REVISÃO DA SEGURANÇA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Data da revisão</x:v>
      </x:c>
      <x:c r="B4" s="12" t="d">
        <x:v>2026-10-26T12:00:00.000Z</x:v>
      </x:c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7" t="str">
        <x:v>Situação do código</x:v>
      </x:c>
      <x:c r="B6" s="7" t="str">
        <x:v>Quantidade</x:v>
      </x:c>
      <x:c r="C6" s="2"/>
      <x:c r="D6" s="7" t="str">
        <x:v>Validação em produção</x:v>
      </x:c>
      <x:c r="E6" s="7" t="str">
        <x:v>Quantidade</x:v>
      </x:c>
      <x:c r="F6" s="2"/>
      <x:c r="G6" s="2"/>
      <x:c r="H6" s="2"/>
    </x:row>
    <x:row r="7">
      <x:c r="A7" s="2" t="str">
        <x:v>Implementado</x:v>
      </x:c>
      <x:c r="B7" s="14" t="n">
        <x:f>COUNTIF('Matriz de Riscos'!$G$6:$G$205,A7)</x:f>
        <x:v>6</x:v>
      </x:c>
      <x:c r="C7" s="2"/>
      <x:c r="D7" s="2" t="str">
        <x:v>Aprovado</x:v>
      </x:c>
      <x:c r="E7" s="14" t="n">
        <x:f>COUNTIF('Matriz de Riscos'!$L$6:$L$205,D7)</x:f>
        <x:v>0</x:v>
      </x:c>
      <x:c r="F7" s="2"/>
      <x:c r="G7" s="2"/>
      <x:c r="H7" s="2"/>
    </x:row>
    <x:row r="8">
      <x:c r="A8" s="2" t="str">
        <x:v>Parcial</x:v>
      </x:c>
      <x:c r="B8" s="14" t="n">
        <x:f>COUNTIF('Matriz de Riscos'!$G$6:$G$205,A8)</x:f>
        <x:v>8</x:v>
      </x:c>
      <x:c r="C8" s="2"/>
      <x:c r="D8" s="2" t="str">
        <x:v>Reprovado</x:v>
      </x:c>
      <x:c r="E8" s="14" t="n">
        <x:f>COUNTIF('Matriz de Riscos'!$L$6:$L$205,D8)</x:f>
        <x:v>0</x:v>
      </x:c>
      <x:c r="F8" s="2"/>
      <x:c r="G8" s="2"/>
      <x:c r="H8" s="2"/>
    </x:row>
    <x:row r="9">
      <x:c r="A9" s="2" t="str">
        <x:v>Não identificado</x:v>
      </x:c>
      <x:c r="B9" s="14" t="n">
        <x:f>COUNTIF('Matriz de Riscos'!$G$6:$G$205,A9)</x:f>
        <x:v>1</x:v>
      </x:c>
      <x:c r="C9" s="2"/>
      <x:c r="D9" s="2" t="str">
        <x:v>Não validado</x:v>
      </x:c>
      <x:c r="E9" s="14" t="n">
        <x:f>COUNTIF('Matriz de Riscos'!$L$6:$L$205,D9)</x:f>
        <x:v>15</x:v>
      </x:c>
      <x:c r="F9" s="2"/>
      <x:c r="G9" s="2"/>
      <x:c r="H9" s="2"/>
    </x:row>
    <x:row r="10">
      <x:c r="A10" s="2" t="str">
        <x:v>Sem status / revisar</x:v>
      </x:c>
      <x:c r="B10" s="14" t="n">
        <x:f>B11-SUM(B7:B9)</x:f>
        <x:v>0</x:v>
      </x:c>
      <x:c r="C10" s="2"/>
      <x:c r="D10" s="2" t="str">
        <x:v>Sem resultado / revisar</x:v>
      </x:c>
      <x:c r="E10" s="14" t="n">
        <x:f>B11-SUM(E7:E9)</x:f>
        <x:v>0</x:v>
      </x:c>
      <x:c r="F10" s="2"/>
      <x:c r="G10" s="2"/>
      <x:c r="H10" s="2"/>
    </x:row>
    <x:row r="11">
      <x:c r="A11" s="16" t="str">
        <x:v>Total de riscos</x:v>
      </x:c>
      <x:c r="B11" s="17" t="n">
        <x:f>COUNT('Matriz de Riscos'!$A$6:$A$205)</x:f>
        <x:v>15</x:v>
      </x:c>
      <x:c r="C11" s="2"/>
      <x:c r="D11" s="2"/>
      <x:c r="E11" s="2"/>
      <x:c r="F11" s="2"/>
      <x:c r="G11" s="2"/>
      <x:c r="H11" s="2"/>
    </x:row>
    <x:row r="12">
      <x:c r="A12" s="2"/>
      <x:c r="B12" s="14"/>
      <x:c r="C12" s="2"/>
      <x:c r="D12" s="2"/>
      <x:c r="E12" s="2"/>
      <x:c r="F12" s="2"/>
      <x:c r="G12" s="2"/>
      <x:c r="H12" s="2"/>
    </x:row>
    <x:row r="13">
      <x:c r="A13" s="2"/>
      <x:c r="B13" s="14"/>
      <x:c r="C13" s="2"/>
      <x:c r="D13" s="2"/>
      <x:c r="E13" s="2"/>
      <x:c r="F13" s="2"/>
      <x:c r="G13" s="2"/>
      <x:c r="H13" s="2"/>
    </x:row>
    <x:row r="14" ht="34" customHeight="1">
      <x:c r="A14" s="7" t="str">
        <x:v>Acompanhamento das ações</x:v>
      </x:c>
      <x:c r="B14" s="15" t="str">
        <x:v>Quantidade</x:v>
      </x:c>
      <x:c r="C14" s="2"/>
      <x:c r="D14" s="2"/>
      <x:c r="E14" s="2"/>
      <x:c r="F14" s="2"/>
      <x:c r="G14" s="2"/>
      <x:c r="H14" s="2"/>
    </x:row>
    <x:row r="15">
      <x:c r="A15" s="2" t="str">
        <x:v>Riscos com prioridade alta</x:v>
      </x:c>
      <x:c r="B15" s="14" t="n">
        <x:f>COUNTIF('Matriz de Riscos'!$M$6:$M$205,"Alta")</x:f>
        <x:v>10</x:v>
      </x:c>
      <x:c r="C15" s="2"/>
      <x:c r="D15" s="2"/>
      <x:c r="E15" s="2"/>
      <x:c r="F15" s="2"/>
      <x:c r="G15" s="2"/>
      <x:c r="H15" s="2"/>
    </x:row>
    <x:row r="16">
      <x:c r="A16" s="2" t="str">
        <x:v>Sem responsável</x:v>
      </x:c>
      <x:c r="B16" s="14" t="n">
        <x:f>COUNTBLANK('Matriz de Riscos'!$J$6:$J$205)-COUNTBLANK('Matriz de Riscos'!$A$6:$A$205)</x:f>
        <x:v>15</x:v>
      </x:c>
      <x:c r="C16" s="2"/>
      <x:c r="D16" s="2"/>
      <x:c r="E16" s="2"/>
      <x:c r="F16" s="2"/>
      <x:c r="G16" s="2"/>
      <x:c r="H16" s="2"/>
    </x:row>
    <x:row r="17">
      <x:c r="A17" s="2" t="str">
        <x:v>Sem prazo acordado</x:v>
      </x:c>
      <x:c r="B17" s="14" t="n">
        <x:f>COUNTBLANK('Matriz de Riscos'!$K$6:$K$205)-COUNTBLANK('Matriz de Riscos'!$A$6:$A$205)</x:f>
        <x:v>15</x:v>
      </x:c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13" t="str">
        <x:v>Como interpretar e atualizar</x:v>
      </x:c>
      <x:c r="B20" s="2"/>
      <x:c r="C20" s="2"/>
      <x:c r="D20" s="2"/>
      <x:c r="E20" s="2"/>
      <x:c r="F20" s="2"/>
      <x:c r="G20" s="2"/>
      <x:c r="H20" s="2"/>
    </x:row>
    <x:row r="21" ht="21" customHeight="1">
      <x:c r="A21" s="2" t="str">
        <x:v>Implementado: controle encontrado no código consultado. Não significa risco eliminado nem deploy aprovado.</x:v>
      </x:c>
      <x:c r="B21" s="2"/>
      <x:c r="C21" s="2"/>
      <x:c r="D21" s="2"/>
      <x:c r="E21" s="2"/>
      <x:c r="F21" s="2"/>
      <x:c r="G21" s="2"/>
      <x:c r="H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</x:row>
    <x:row r="23" ht="21" customHeight="1">
      <x:c r="A23" s="2" t="str">
        <x:v>Parcial: há controle relacionado, mas faltam partes relevantes do objetivo do planejamento.</x:v>
      </x:c>
      <x:c r="B23" s="2"/>
      <x:c r="C23" s="2"/>
      <x:c r="D23" s="2"/>
      <x:c r="E23" s="2"/>
      <x:c r="F23" s="2"/>
      <x:c r="G23" s="2"/>
      <x:c r="H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</x:row>
    <x:row r="25" ht="21" customHeight="1">
      <x:c r="A25" s="2" t="str">
        <x:v>Não identificado: o controle previsto não foi localizado no fluxo/modelo atual consultado. Requer confirmação do</x:v>
      </x:c>
      <x:c r="B25" s="2"/>
      <x:c r="C25" s="2"/>
      <x:c r="D25" s="2"/>
      <x:c r="E25" s="2"/>
      <x:c r="F25" s="2"/>
      <x:c r="G25" s="2"/>
      <x:c r="H25" s="2"/>
    </x:row>
    <x:row r="26" ht="21" customHeight="1">
      <x:c r="A26" s="2" t="str">
        <x:v>responsável.</x:v>
      </x:c>
      <x:c r="B26" s="2"/>
      <x:c r="C26" s="2"/>
      <x:c r="D26" s="2"/>
      <x:c r="E26" s="2"/>
      <x:c r="F26" s="2"/>
      <x:c r="G26" s="2"/>
      <x:c r="H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</x:row>
    <x:row r="28" ht="21" customHeight="1">
      <x:c r="A28" s="2" t="str">
        <x:v>¹ Probabilidade e impacto iniciais preservam rótulos da planilha de 29/09/2026. Não são avaliação residual atual.</x:v>
      </x:c>
      <x:c r="B28" s="2"/>
      <x:c r="C28" s="2"/>
      <x:c r="D28" s="2"/>
      <x:c r="E28" s="2"/>
      <x:c r="F28" s="2"/>
      <x:c r="G28" s="2"/>
      <x:c r="H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</x:row>
    <x:row r="30" ht="21" customHeight="1">
      <x:c r="A30" s="2" t="str">
        <x:v>Prioridades são sugestões desta revisão técnica. Confirmar com a equipe. Datas e responsáveis permanecem em branco.</x:v>
      </x:c>
      <x:c r="B30" s="2"/>
      <x:c r="C30" s="2"/>
      <x:c r="D30" s="2"/>
      <x:c r="E30" s="2"/>
      <x:c r="F30" s="2"/>
      <x:c r="G30" s="2"/>
      <x:c r="H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</x:row>
    <x:row r="32" ht="21" customHeight="1">
      <x:c r="A32" s="2" t="str">
        <x:v>Não há score atual de segurança: 33%, 60% e 80% eram valores do planejamento, sem método ou medição validada.</x:v>
      </x:c>
      <x:c r="B32" s="2"/>
      <x:c r="C32" s="2"/>
      <x:c r="D32" s="2"/>
      <x:c r="E32" s="2"/>
      <x:c r="F32" s="2"/>
      <x:c r="G32" s="2"/>
      <x:c r="H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</x:row>
    <x:row r="34" ht="21" customHeight="1">
      <x:c r="A34" s="2" t="str">
        <x:v>Atualize os registros na Matriz e os testes no Checklist. Os totais acompanham até a linha 205. Use um ID numérico</x:v>
      </x:c>
      <x:c r="B34" s="2"/>
      <x:c r="C34" s="2"/>
      <x:c r="D34" s="2"/>
      <x:c r="E34" s="2"/>
      <x:c r="F34" s="2"/>
      <x:c r="G34" s="2"/>
      <x:c r="H34" s="2"/>
    </x:row>
    <x:row r="35" ht="21" customHeight="1">
      <x:c r="A35" s="1" t="str">
        <x:v>único por risco.</x:v>
      </x:c>
      <x:c r="B35" s="1"/>
      <x:c r="C35" s="1"/>
      <x:c r="D35" s="1"/>
      <x:c r="E35" s="1"/>
      <x:c r="F35" s="1"/>
      <x:c r="G35" s="1"/>
      <x:c r="H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</x:row>
    <x:row r="37" ht="21" customHeight="1">
      <x:c r="A37" s="1" t="str">
        <x:v>² Caminhos backend relativos a C:/Users/Alunos/Documents/GitHub/Pet-Joyful-Backend. Caminhos mobile relativos a</x:v>
      </x:c>
      <x:c r="B37" s="1"/>
      <x:c r="C37" s="1"/>
      <x:c r="D37" s="1"/>
      <x:c r="E37" s="1"/>
      <x:c r="F37" s="1"/>
      <x:c r="G37" s="1"/>
      <x:c r="H37" s="1"/>
    </x:row>
    <x:row r="38" ht="21" customHeight="1">
      <x:c r="A38" s="1" t="str">
        <x:v>C:/Users/Alunos/Desktop/PI, sem o prefixo mobile/.</x:v>
      </x:c>
      <x:c r="B38" s="1"/>
      <x:c r="C38" s="1"/>
      <x:c r="D38" s="1"/>
      <x:c r="E38" s="1"/>
      <x:c r="F38" s="1"/>
      <x:c r="G38" s="1"/>
      <x:c r="H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</x:row>
    <x:row r="40" ht="21" customHeight="1">
      <x:c r="A40" s="1" t="str">
        <x:v>Fonte original: C:/Users/Alunos/Downloads/PLANEJAMENTO_SEGURANCA_PetJoyful.xlsx — Matriz de Riscos e Checklist.</x:v>
      </x:c>
      <x:c r="B40" s="1"/>
      <x:c r="C40" s="1"/>
      <x:c r="D40" s="1"/>
      <x:c r="E40" s="1"/>
      <x:c r="F40" s="1"/>
      <x:c r="G40" s="1"/>
      <x:c r="H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</x:row>
    <x:row r="42" ht="21" customHeight="1">
      <x:c r="A42" s="1" t="str">
        <x:v>Base antiga backend: 57448bc. Base antiga mobile: 2f86fa4. Atual: backend HEAD 6fac990 + árvore local; mobile</x:v>
      </x:c>
      <x:c r="B42" s="1"/>
      <x:c r="C42" s="1"/>
      <x:c r="D42" s="1"/>
      <x:c r="E42" s="1"/>
      <x:c r="F42" s="1"/>
      <x:c r="G42" s="1"/>
      <x:c r="H42" s="1"/>
    </x:row>
    <x:row r="43" ht="21" customHeight="1">
      <x:c r="A43" s="1" t="str">
        <x:v>adab43e.</x:v>
      </x:c>
      <x:c r="B43" s="1"/>
      <x:c r="C43" s="1"/>
      <x:c r="D43" s="1"/>
      <x:c r="E43" s="1"/>
      <x:c r="F43" s="1"/>
      <x:c r="G43" s="1"/>
      <x:c r="H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</x:row>
    <x:row r="45" ht="21" customHeight="1">
      <x:c r="A45" s="1" t="str">
        <x:v>Evidência visual: frontend mobile web em localhost:8081, 390 × 844. A conta capturada estava com MFA desativado.</x:v>
      </x:c>
      <x:c r="B45" s="1"/>
      <x:c r="C45" s="1"/>
      <x:c r="D45" s="1"/>
      <x:c r="E45" s="1"/>
      <x:c r="F45" s="1"/>
      <x:c r="G45" s="1"/>
      <x:c r="H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</x:row>
  </x:sheetData>
  <x:conditionalFormatting sqref="B10:B10">
    <x:cfRule type="cellIs" dxfId="4" priority="1" operator="greaterThan">
      <x:formula>0</x:formula>
    </x:cfRule>
  </x:conditionalFormatting>
  <x:conditionalFormatting sqref="E8:E8">
    <x:cfRule type="cellIs" dxfId="5" priority="2" operator="greaterThan">
      <x:formula>0</x:formula>
    </x:cfRule>
  </x:conditionalFormatting>
  <x:conditionalFormatting sqref="E10:E10">
    <x:cfRule type="cellIs" dxfId="6" priority="3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4542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" hidden="0" customWidth="1"/>
    <x:col min="2" max="2" width="29" hidden="0" customWidth="1"/>
    <x:col min="3" max="3" width="20" hidden="0" customWidth="1"/>
    <x:col min="4" max="4" width="17" hidden="0" customWidth="1"/>
    <x:col min="5" max="5" width="48" hidden="0" customWidth="1"/>
    <x:col min="6" max="6" width="60" hidden="0" customWidth="1"/>
    <x:col min="7" max="7" width="22" hidden="0" customWidth="1"/>
    <x:col min="8" max="8" width="56" hidden="0" customWidth="1"/>
    <x:col min="9" max="9" width="58" hidden="0" customWidth="1"/>
    <x:col min="10" max="10" width="21" hidden="0" customWidth="1"/>
    <x:col min="11" max="11" width="18" hidden="0" customWidth="1"/>
    <x:col min="12" max="12" width="19" hidden="0" customWidth="1"/>
    <x:col min="13" max="13" width="20" hidden="0" customWidth="1"/>
    <x:col min="14" max="14" width="3" hidden="0" customWidth="1"/>
    <x:col min="15" max="15" width="82" hidden="0" customWidth="1"/>
    <x:col min="16" max="16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PETJOYFUL — MATRIZ DE SEGURANÇA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Revisão de 26/10/2026. Status do código separado de validação em produção. Responsável e prazo em amarelo para preencher.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4" customHeight="1">
      <x:c r="A5" s="7" t="str">
        <x:v>ID</x:v>
      </x:c>
      <x:c r="B5" s="7" t="str">
        <x:v>Risco</x:v>
      </x:c>
      <x:c r="C5" s="7" t="str">
        <x:v>Probabilidade inicial¹</x:v>
      </x:c>
      <x:c r="D5" s="7" t="str">
        <x:v>Impacto inicial¹</x:v>
      </x:c>
      <x:c r="E5" s="7" t="str">
        <x:v>Antes</x:v>
      </x:c>
      <x:c r="F5" s="7" t="str">
        <x:v>Controle atual</x:v>
      </x:c>
      <x:c r="G5" s="7" t="str">
        <x:v>Status no código</x:v>
      </x:c>
      <x:c r="H5" s="7" t="str">
        <x:v>Risco remanescente</x:v>
      </x:c>
      <x:c r="I5" s="7" t="str">
        <x:v>Próxima ação</x:v>
      </x:c>
      <x:c r="J5" s="7" t="str">
        <x:v>Responsável</x:v>
      </x:c>
      <x:c r="K5" s="7" t="str">
        <x:v>Prazo acordado</x:v>
      </x:c>
      <x:c r="L5" s="7" t="str">
        <x:v>Produção</x:v>
      </x:c>
      <x:c r="M5" s="7" t="str">
        <x:v>Prioridade sugerida</x:v>
      </x:c>
      <x:c r="N5" s="2"/>
      <x:c r="O5" s="7" t="str">
        <x:v>Evidência no repositório²</x:v>
      </x:c>
      <x:c r="P5" s="7" t="str">
        <x:v>Origem da comparação</x:v>
      </x:c>
    </x:row>
    <x:row r="6" ht="76" customHeight="1">
      <x:c r="A6" s="8" t="n">
        <x:v>1</x:v>
      </x:c>
      <x:c r="B6" s="8" t="str">
        <x:v>Brute force no login</x:v>
      </x:c>
      <x:c r="C6" s="8" t="str">
        <x:v>MUITO PROVÁVEL</x:v>
      </x:c>
      <x:c r="D6" s="8" t="str">
        <x:v>MUITO ALTO</x:v>
      </x:c>
      <x:c r="E6" s="8" t="str">
        <x:v>Base antiga sem limitador de requisições.</x:v>
      </x:c>
      <x:c r="F6" s="8" t="str">
        <x:v>Login limitado a 5 tentativas por IP em 15 min; limitador global de API aplicado antes das rotas; respostas 429 e testes locais.</x:v>
      </x:c>
      <x:c r="G6" s="8" t="str">
        <x:v>Implementado</x:v>
      </x:c>
      <x:c r="H6" s="8" t="str">
        <x:v>A validação entre múltiplas instâncias depende de armazenamento compartilhado e de configuração operacional.</x:v>
      </x:c>
      <x:c r="I6" s="8" t="str">
        <x:v>Validar limites publicados, persistência distribuída e rotas fora do limitador.</x:v>
      </x:c>
      <x:c r="J6" s="9" t="str"/>
      <x:c r="K6" s="10" t="str"/>
      <x:c r="L6" s="8" t="str">
        <x:v>Não validado</x:v>
      </x:c>
      <x:c r="M6" s="8" t="str">
        <x:v>Alta</x:v>
      </x:c>
      <x:c r="N6" s="2"/>
      <x:c r="O6" s="8" t="str">
        <x:v>backend/src/middlewares/rateLimiter.ts; backend/src/app.ts; test/unit/rateLimiter.spec.ts; test/integration/authController.spec.ts</x:v>
      </x:c>
      <x:c r="P6" s="8" t="str">
        <x:v>Código atual do backend e histórico 57448bc</x:v>
      </x:c>
    </x:row>
    <x:row r="7" ht="76" customHeight="1">
      <x:c r="A7" s="8" t="n">
        <x:v>2</x:v>
      </x:c>
      <x:c r="B7" s="8" t="str">
        <x:v>Direitos e transparência LGPD</x:v>
      </x:c>
      <x:c r="C7" s="8" t="str">
        <x:v>MUITO PROVÁVEL</x:v>
      </x:c>
      <x:c r="D7" s="8" t="str">
        <x:v>MUITO ALTO</x:v>
      </x:c>
      <x:c r="E7" s="8" t="str">
        <x:v>Exclusão simples da conta, sem o serviço atual de exportação e tratamento vinculado.</x:v>
      </x:c>
      <x:c r="F7" s="8" t="str">
        <x:v>Exportação da própria conta e exclusão de dados vinculados implementadas no backend; remoção de mídias e sessões associadas.</x:v>
      </x:c>
      <x:c r="G7" s="8" t="str">
        <x:v>Parcial</x:v>
      </x:c>
      <x:c r="H7" s="8" t="str">
        <x:v>Exportação no app móvel, política de retenção/backups e validação ponta a ponta de serviços externos ainda faltam.</x:v>
      </x:c>
      <x:c r="I7" s="8" t="str">
        <x:v>Adicionar exportação no mobile; revisar retenção/backups; validar exclusão em todos os serviços.</x:v>
      </x:c>
      <x:c r="J7" s="9" t="str"/>
      <x:c r="K7" s="10" t="str"/>
      <x:c r="L7" s="8" t="str">
        <x:v>Não validado</x:v>
      </x:c>
      <x:c r="M7" s="8" t="str">
        <x:v>Alta</x:v>
      </x:c>
      <x:c r="N7" s="2"/>
      <x:c r="O7" s="8" t="str">
        <x:v>backend/src/services/userDataService.ts; backend/src/routes/userRoutes.ts; test/integration/lgpd.spec.ts</x:v>
      </x:c>
      <x:c r="P7" s="8" t="str">
        <x:v>Código backend/mobile; planilha original, risco 2</x:v>
      </x:c>
    </x:row>
    <x:row r="8" ht="76" customHeight="1">
      <x:c r="A8" s="8" t="n">
        <x:v>3</x:v>
      </x:c>
      <x:c r="B8" s="8" t="str">
        <x:v>Validação insuficiente no backend</x:v>
      </x:c>
      <x:c r="C8" s="8" t="str">
        <x:v>PROVÁVEL</x:v>
      </x:c>
      <x:c r="D8" s="8" t="str">
        <x:v>MUITO ALTO</x:v>
      </x:c>
      <x:c r="E8" s="8" t="str">
        <x:v>Validações pontuais de presença de campos. Não havia a proteção atual de CPF e MFA.</x:v>
      </x:c>
      <x:c r="F8" s="8" t="str">
        <x:v>Validação estrita de payloads e campos; bloqueio recursivo de operadores/prototype keys; allowlists, updates server-side, sanitizeFilter, runValidators e testes de injeção.</x:v>
      </x:c>
      <x:c r="G8" s="8" t="str">
        <x:v>Implementado</x:v>
      </x:c>
      <x:c r="H8" s="8" t="str">
        <x:v>Novas rotas/serviços devem herdar as mesmas validações; testes em produção ainda não executados.</x:v>
      </x:c>
      <x:c r="I8" s="8" t="str">
        <x:v>Manter testes de payload malicioso e revisão em cada endpoint novo.</x:v>
      </x:c>
      <x:c r="J8" s="9" t="str"/>
      <x:c r="K8" s="10" t="str"/>
      <x:c r="L8" s="8" t="str">
        <x:v>Não validado</x:v>
      </x:c>
      <x:c r="M8" s="8" t="str">
        <x:v>Alta</x:v>
      </x:c>
      <x:c r="N8" s="2"/>
      <x:c r="O8" s="8" t="str">
        <x:v>backend/src/middlewares/inputGuard.ts; backend/src/middlewares/authValidators.ts; backend/src/middlewares/messageValidators.ts; services/messages-service/src/middlewares/inputGuard.ts; test/integration/noSqlInjection.spec.ts</x:v>
      </x:c>
      <x:c r="P8" s="8" t="str">
        <x:v>Código atual do backend; planilha original, risco 3</x:v>
      </x:c>
    </x:row>
    <x:row r="9" ht="76" customHeight="1">
      <x:c r="A9" s="8" t="n">
        <x:v>4</x:v>
      </x:c>
      <x:c r="B9" s="8" t="str">
        <x:v>Chave administrativa e autorização</x:v>
      </x:c>
      <x:c r="C9" s="8" t="str">
        <x:v>PROVÁVEL</x:v>
      </x:c>
      <x:c r="D9" s="8" t="str">
        <x:v>MUITO ALTO</x:v>
      </x:c>
      <x:c r="E9" s="8" t="str">
        <x:v>Administração apoiada em chave estática.</x:v>
      </x:c>
      <x:c r="F9" s="8" t="str">
        <x:v>RBAC por JWT para administrador; chave em query string removida; header x-admin-key legado segue aceito para compatibilidade.</x:v>
      </x:c>
      <x:c r="G9" s="8" t="str">
        <x:v>Parcial</x:v>
      </x:c>
      <x:c r="H9" s="8" t="str">
        <x:v>Compatibilidade por chave estática não é RBAC completo; precisa de remoção após migração de consumidores.</x:v>
      </x:c>
      <x:c r="I9" s="8" t="str">
        <x:v>Migrar consumidores para JWT admin e remover x-admin-key legado com janela de transição.</x:v>
      </x:c>
      <x:c r="J9" s="9" t="str"/>
      <x:c r="K9" s="10" t="str"/>
      <x:c r="L9" s="8" t="str">
        <x:v>Não validado</x:v>
      </x:c>
      <x:c r="M9" s="8" t="str">
        <x:v>Alta</x:v>
      </x:c>
      <x:c r="N9" s="2"/>
      <x:c r="O9" s="8" t="str">
        <x:v>backend/src/middlewares/ensureAdminKey.ts; backend/src/middlewares/ensureAuth.ts; backend/src/routes/userRoutes.ts; test/integration/userController.spec.ts</x:v>
      </x:c>
      <x:c r="P9" s="8" t="str">
        <x:v>Código atual do backend; planilha original, risco 4</x:v>
      </x:c>
    </x:row>
    <x:row r="10" ht="76" customHeight="1">
      <x:c r="A10" s="8" t="n">
        <x:v>5</x:v>
      </x:c>
      <x:c r="B10" s="8" t="str">
        <x:v>Rastreabilidade e auditoria</x:v>
      </x:c>
      <x:c r="C10" s="8" t="str">
        <x:v>MUITO PROVÁVEL</x:v>
      </x:c>
      <x:c r="D10" s="8" t="str">
        <x:v>ALTO</x:v>
      </x:c>
      <x:c r="E10" s="8" t="str">
        <x:v>Já existiam logs HTTP e de login. A descrição original de ausência total de logs não se confirma.</x:v>
      </x:c>
      <x:c r="F10" s="8" t="str">
        <x:v>AuditLog persiste eventos de autenticação, MFA, alterações de perfil e ações administrativas; retenção TTL de 365 dias; sem payload sensível.</x:v>
      </x:c>
      <x:c r="G10" s="8" t="str">
        <x:v>Parcial</x:v>
      </x:c>
      <x:c r="H10" s="8" t="str">
        <x:v>Cobertura de eventos não é total e política de acesso/retensão precisa ser formalizada.</x:v>
      </x:c>
      <x:c r="I10" s="8" t="str">
        <x:v>Auditar eventos críticos restantes; definir acesso e retenção com política organizacional.</x:v>
      </x:c>
      <x:c r="J10" s="9" t="str"/>
      <x:c r="K10" s="10" t="str"/>
      <x:c r="L10" s="8" t="str">
        <x:v>Não validado</x:v>
      </x:c>
      <x:c r="M10" s="8" t="str">
        <x:v>Alta</x:v>
      </x:c>
      <x:c r="N10" s="2"/>
      <x:c r="O10" s="8" t="str">
        <x:v>backend/src/models/auditLogModel.ts; backend/src/services/auditLogService.ts; test/unit/auditLogService.spec.ts</x:v>
      </x:c>
      <x:c r="P10" s="8" t="str">
        <x:v>Código atual e histórico do backend; planilha original, risco 5</x:v>
      </x:c>
    </x:row>
    <x:row r="11" ht="76" customHeight="1">
      <x:c r="A11" s="8" t="n">
        <x:v>6</x:v>
      </x:c>
      <x:c r="B11" s="8" t="str">
        <x:v>Ausência de refresh token</x:v>
      </x:c>
      <x:c r="C11" s="8" t="str">
        <x:v>PROVÁVEL</x:v>
      </x:c>
      <x:c r="D11" s="8" t="str">
        <x:v>ALTO</x:v>
      </x:c>
      <x:c r="E11" s="8" t="str">
        <x:v>JWT já expirava em 7 dias. A afirmação original de token sem expiração não se confirma.</x:v>
      </x:c>
      <x:c r="F11" s="8" t="str">
        <x:v>Access token curto (15 min por padrão), refresh token opaco armazenado como hash, rotação de uso único e revogação no backend; mobile renova pela instância authApi.</x:v>
      </x:c>
      <x:c r="G11" s="8" t="str">
        <x:v>Parcial</x:v>
      </x:c>
      <x:c r="H11" s="8" t="str">
        <x:v>Frontend web e serviço postsApi do mobile ainda não usam a renovação; chaves JWT e validação de implantação são pendências.</x:v>
      </x:c>
      <x:c r="I11" s="8" t="str">
        <x:v>Integrar renovação no cliente web e postsApi; configurar JWT_ACCESS_TTL/segredos; validar rotação/reutilização/logout em homologação.</x:v>
      </x:c>
      <x:c r="J11" s="9" t="str"/>
      <x:c r="K11" s="10" t="str"/>
      <x:c r="L11" s="8" t="str">
        <x:v>Não validado</x:v>
      </x:c>
      <x:c r="M11" s="8" t="str">
        <x:v>Alta</x:v>
      </x:c>
      <x:c r="N11" s="2"/>
      <x:c r="O11" s="8" t="str">
        <x:v>backend/src/services/refreshTokenService.ts; backend/src/models/refreshTokenModel.ts; backend/src/routes/authRoutes.ts; mobile/src/services/tokenStorage.ts; mobile/src/services/api.ts; test/integration/refreshToken.spec.ts</x:v>
      </x:c>
      <x:c r="P11" s="8" t="str">
        <x:v>Código atual e histórico do backend; planilha original, risco 6</x:v>
      </x:c>
    </x:row>
    <x:row r="12" ht="76" customHeight="1">
      <x:c r="A12" s="8" t="n">
        <x:v>7</x:v>
      </x:c>
      <x:c r="B12" s="8" t="str">
        <x:v>Confirmação de e-mail</x:v>
      </x:c>
      <x:c r="C12" s="8" t="str">
        <x:v>PROVÁVEL</x:v>
      </x:c>
      <x:c r="D12" s="8" t="str">
        <x:v>ALTO</x:v>
      </x:c>
      <x:c r="E12" s="8" t="str">
        <x:v>Planejamento previa confirmação do endereço no cadastro.</x:v>
      </x:c>
      <x:c r="F12" s="8" t="str">
        <x:v>Cadastro atual não demonstra envio/validação de confirmação de e-mail.</x:v>
      </x:c>
      <x:c r="G12" s="8" t="str">
        <x:v>Não identificado</x:v>
      </x:c>
      <x:c r="H12" s="8" t="str">
        <x:v>Titularidade do e-mail não é verificada; requer provedor e configuração de envio.</x:v>
      </x:c>
      <x:c r="I12" s="8" t="str">
        <x:v>Definir provedor SMTP/API, expiração/uso único do token e fluxo de reenvio; integrar após provisionar credenciais.</x:v>
      </x:c>
      <x:c r="J12" s="9" t="str"/>
      <x:c r="K12" s="10" t="str"/>
      <x:c r="L12" s="8" t="str">
        <x:v>Não validado</x:v>
      </x:c>
      <x:c r="M12" s="8" t="str">
        <x:v>Média</x:v>
      </x:c>
      <x:c r="N12" s="2"/>
      <x:c r="O12" s="8" t="str">
        <x:v>backend/src/controllers/authController.ts; backend/src/routes/authRoutes.ts</x:v>
      </x:c>
      <x:c r="P12" s="8" t="str">
        <x:v>Código atual do backend e histórico de commits; risco 7</x:v>
      </x:c>
    </x:row>
    <x:row r="13" ht="76" customHeight="1">
      <x:c r="A13" s="8" t="n">
        <x:v>8</x:v>
      </x:c>
      <x:c r="B13" s="8" t="str">
        <x:v>Proteção do CPF em repouso</x:v>
      </x:c>
      <x:c r="C13" s="8" t="str">
        <x:v>POSSÍVEL</x:v>
      </x:c>
      <x:c r="D13" s="8" t="str">
        <x:v>ALTO</x:v>
      </x:c>
      <x:c r="E13" s="8" t="str">
        <x:v>Planejamento previa cifrar CPF/CNPJ/CRMV.</x:v>
      </x:c>
      <x:c r="F13" s="8" t="str">
        <x:v>CPF cifrado com AES-256-GCM e HMAC-SHA256 para busca; persistência cifrada e migração adicionadas.</x:v>
      </x:c>
      <x:c r="G13" s="8" t="str">
        <x:v>Parcial</x:v>
      </x:c>
      <x:c r="H13" s="8" t="str">
        <x:v>CPF antigo precisa de migração com chave definida; deploy exige CPF_ENCRYPTION_KEY e CPF_HASH_KEY (32 bytes/64 hex); sem configuração não há cadastro com CPF.</x:v>
      </x:c>
      <x:c r="I13" s="8" t="str">
        <x:v>Provisionar chaves em secret manager; testar migração em cópia; executar migração planejada e verificar backups/rotação.</x:v>
      </x:c>
      <x:c r="J13" s="9" t="str"/>
      <x:c r="K13" s="10" t="str"/>
      <x:c r="L13" s="8" t="str">
        <x:v>Não validado</x:v>
      </x:c>
      <x:c r="M13" s="8" t="str">
        <x:v>Alta</x:v>
      </x:c>
      <x:c r="N13" s="2"/>
      <x:c r="O13" s="8" t="str">
        <x:v>backend/src/services/cpfProtection.ts; backend/src/models/userModel.ts; scripts/encrypt-existing-cpf.ts; test/unit/cpfProtection.spec.ts</x:v>
      </x:c>
      <x:c r="P13" s="8" t="str">
        <x:v>Código atual do backend; planilha original, risco 8</x:v>
      </x:c>
    </x:row>
    <x:row r="14" ht="76" customHeight="1">
      <x:c r="A14" s="8" t="n">
        <x:v>9</x:v>
      </x:c>
      <x:c r="B14" s="8" t="str">
        <x:v>Cabeçalhos de segurança HTTP</x:v>
      </x:c>
      <x:c r="C14" s="8" t="str">
        <x:v>POSSÍVEL</x:v>
      </x:c>
      <x:c r="D14" s="8" t="str">
        <x:v>ALTO</x:v>
      </x:c>
      <x:c r="E14" s="8" t="str">
        <x:v>A base antiga tinha CORS, mas não incluía Helmet.</x:v>
      </x:c>
      <x:c r="F14" s="8" t="str">
        <x:v>Helmet, CSP, object-src none, proteção contra framing e teste de headers no backend.</x:v>
      </x:c>
      <x:c r="G14" s="8" t="str">
        <x:v>Implementado</x:v>
      </x:c>
      <x:c r="H14" s="8" t="str">
        <x:v>Compatibilidade de CSP e cabeçalhos publicados ainda precisa ser confirmada nos domínios de produção.</x:v>
      </x:c>
      <x:c r="I14" s="8" t="str">
        <x:v>Conferir headers publicados e ajustar apenas exceções justificadas.</x:v>
      </x:c>
      <x:c r="J14" s="9" t="str"/>
      <x:c r="K14" s="10" t="str"/>
      <x:c r="L14" s="8" t="str">
        <x:v>Não validado</x:v>
      </x:c>
      <x:c r="M14" s="8" t="str">
        <x:v>Média</x:v>
      </x:c>
      <x:c r="N14" s="2"/>
      <x:c r="O14" s="8" t="str">
        <x:v>backend/src/app.ts; test/integration/securityHeaders.spec.ts</x:v>
      </x:c>
      <x:c r="P14" s="8" t="str">
        <x:v>Código atual do backend; commit e8c83d3; risco 9</x:v>
      </x:c>
    </x:row>
    <x:row r="15" ht="76" customHeight="1">
      <x:c r="A15" s="8" t="n">
        <x:v>10</x:v>
      </x:c>
      <x:c r="B15" s="8" t="str">
        <x:v>Histórico de alterações dos dados</x:v>
      </x:c>
      <x:c r="C15" s="8" t="str">
        <x:v>POSSÍVEL</x:v>
      </x:c>
      <x:c r="D15" s="8" t="str">
        <x:v>MÉDIO</x:v>
      </x:c>
      <x:c r="E15" s="8" t="str">
        <x:v>Sem o histórico completo proposto na planilha.</x:v>
      </x:c>
      <x:c r="F15" s="8" t="str">
        <x:v>timestamps e authVersion preservam datas/versão de autenticação; AuditLog guarda autoria para alterações críticas instrumentadas.</x:v>
      </x:c>
      <x:c r="G15" s="8" t="str">
        <x:v>Parcial</x:v>
      </x:c>
      <x:c r="H15" s="8" t="str">
        <x:v>Não há histórico completo por campo/autor para toda alteração de dados.</x:v>
      </x:c>
      <x:c r="I15" s="8" t="str">
        <x:v>Definir entidades/campos com exigência de histórico e implementar versionamento/auditoria correspondente.</x:v>
      </x:c>
      <x:c r="J15" s="9" t="str"/>
      <x:c r="K15" s="10" t="str"/>
      <x:c r="L15" s="8" t="str">
        <x:v>Não validado</x:v>
      </x:c>
      <x:c r="M15" s="8" t="str">
        <x:v>Média</x:v>
      </x:c>
      <x:c r="N15" s="2"/>
      <x:c r="O15" s="8" t="str">
        <x:v>backend/src/models/auditLogModel.ts; backend/src/models/userModel.ts; backend/src/services/auditLogService.ts</x:v>
      </x:c>
      <x:c r="P15" s="8" t="str">
        <x:v>Código atual do backend; planilha original, risco 10</x:v>
      </x:c>
    </x:row>
    <x:row r="16" ht="76" customHeight="1">
      <x:c r="A16" s="8" t="n">
        <x:v>11</x:v>
      </x:c>
      <x:c r="B16" s="8" t="str">
        <x:v>Monitoramento de disponibilidade</x:v>
      </x:c>
      <x:c r="C16" s="8" t="str">
        <x:v>IMPROVÁVEL</x:v>
      </x:c>
      <x:c r="D16" s="8" t="str">
        <x:v>MÉDIO</x:v>
      </x:c>
      <x:c r="E16" s="8" t="str">
        <x:v>A base já tinha resposta de funcionamento na rota raiz.</x:v>
      </x:c>
      <x:c r="F16" s="8" t="str">
        <x:v>/health/live e /health/ready verificam processo, conexão MongoDB e serviço posts quando configurado; testes cobrem indisponibilidade.</x:v>
      </x:c>
      <x:c r="G16" s="8" t="str">
        <x:v>Implementado</x:v>
      </x:c>
      <x:c r="H16" s="8" t="str">
        <x:v>Monitor externo/alertas e validação no ambiente publicado ainda dependem de configuração.</x:v>
      </x:c>
      <x:c r="I16" s="8" t="str">
        <x:v>Configurar health checks do Render e alertas; confirmar estados no deploy.</x:v>
      </x:c>
      <x:c r="J16" s="9" t="str"/>
      <x:c r="K16" s="10" t="str"/>
      <x:c r="L16" s="8" t="str">
        <x:v>Não validado</x:v>
      </x:c>
      <x:c r="M16" s="8" t="str">
        <x:v>Média</x:v>
      </x:c>
      <x:c r="N16" s="2"/>
      <x:c r="O16" s="8" t="str">
        <x:v>backend/src/app.ts; test/integration/health.spec.ts</x:v>
      </x:c>
      <x:c r="P16" s="8" t="str">
        <x:v>Código atual e histórico do backend; planilha original, risco 11</x:v>
      </x:c>
    </x:row>
    <x:row r="17" ht="76" customHeight="1">
      <x:c r="A17" s="8" t="n">
        <x:v>12</x:v>
      </x:c>
      <x:c r="B17" s="8" t="str">
        <x:v>Falha no primeiro acesso / cold start</x:v>
      </x:c>
      <x:c r="C17" s="8" t="str">
        <x:v>POSSÍVEL</x:v>
      </x:c>
      <x:c r="D17" s="8" t="str">
        <x:v>MÉDIO</x:v>
      </x:c>
      <x:c r="E17" s="8" t="str">
        <x:v>Planejamento previa retry com espera exponencial.</x:v>
      </x:c>
      <x:c r="F17" s="8" t="str">
        <x:v>Timeout de 45 s; authApi mobile guarda refresh no SecureStore e renova após 401; chamada original é repetida uma vez.</x:v>
      </x:c>
      <x:c r="G17" s="8" t="str">
        <x:v>Parcial</x:v>
      </x:c>
      <x:c r="H17" s="8" t="str">
        <x:v>Retry/backoff de GET não implementado; postsApi do mobile e frontend web não usam renovação compartilhada.</x:v>
      </x:c>
      <x:c r="I17" s="8" t="str">
        <x:v>Implementar retry limitado para GET; integrar refresh no postsApi e web; testar cold start e falhas de rede.</x:v>
      </x:c>
      <x:c r="J17" s="9" t="str"/>
      <x:c r="K17" s="10" t="str"/>
      <x:c r="L17" s="8" t="str">
        <x:v>Não validado</x:v>
      </x:c>
      <x:c r="M17" s="8" t="str">
        <x:v>Média</x:v>
      </x:c>
      <x:c r="N17" s="2"/>
      <x:c r="O17" s="8" t="str">
        <x:v>mobile/src/services/api.ts; mobile/src/services/tokenStorage.ts; backend/src/services/refreshTokenService.ts</x:v>
      </x:c>
      <x:c r="P17" s="8" t="str">
        <x:v>Código atual do mobile; planilha original, risco 12</x:v>
      </x:c>
    </x:row>
    <x:row r="18" ht="76" customHeight="1">
      <x:c r="A18" s="8" t="n">
        <x:v>13</x:v>
      </x:c>
      <x:c r="B18" s="8" t="str">
        <x:v>Comprometimento por senha e recuperação MFA</x:v>
      </x:c>
      <x:c r="C18" s="8" t="str">
        <x:v>Não avaliada</x:v>
      </x:c>
      <x:c r="D18" s="8" t="str">
        <x:v>Não avaliado</x:v>
      </x:c>
      <x:c r="E18" s="8" t="str">
        <x:v>Login mobile tratava somente token e usuário, sem etapa MFA.</x:v>
      </x:c>
      <x:c r="F18" s="8" t="str">
        <x:v>Backend implementa TOTP, desafio de 5 min, recuperação por hash, bloqueio e revogação; tela móvel conecta a configuração e login pede TOTP.</x:v>
      </x:c>
      <x:c r="G18" s="8" t="str">
        <x:v>Parcial</x:v>
      </x:c>
      <x:c r="H18" s="8" t="str">
        <x:v>Tela e login conectados; entrada de código de recuperação no login e validação de ponta a ponta ainda faltam.</x:v>
      </x:c>
      <x:c r="I18" s="8" t="str">
        <x:v>Adicionar recuperação ao login e validar TOTP, recuperação, bloqueio e revogação ponta a ponta.</x:v>
      </x:c>
      <x:c r="J18" s="9" t="str"/>
      <x:c r="K18" s="10" t="str"/>
      <x:c r="L18" s="8" t="str">
        <x:v>Não validado</x:v>
      </x:c>
      <x:c r="M18" s="8" t="str">
        <x:v>Alta</x:v>
      </x:c>
      <x:c r="N18" s="2"/>
      <x:c r="O18" s="8" t="str">
        <x:v>backend/src/services/mfaService.ts; backend/src/controllers/mfaController.ts; mobile/src/app/seguranca.tsx; mobile/src/services/api.ts; test/integration/mfa.spec.ts</x:v>
      </x:c>
      <x:c r="P18" s="8" t="str">
        <x:v>Código atual backend/mobile; novo risco incluído na revisão</x:v>
      </x:c>
    </x:row>
    <x:row r="19" ht="76" customHeight="1">
      <x:c r="A19" s="8" t="n">
        <x:v>14</x:v>
      </x:c>
      <x:c r="B19" s="8" t="str">
        <x:v>Sessão inválida aceita no mobile</x:v>
      </x:c>
      <x:c r="C19" s="8" t="str">
        <x:v>Não avaliada</x:v>
      </x:c>
      <x:c r="D19" s="8" t="str">
        <x:v>Não avaliado</x:v>
      </x:c>
      <x:c r="E19" s="8" t="str">
        <x:v>Guard verificava presença do token no armazenamento local.</x:v>
      </x:c>
      <x:c r="F19" s="8" t="str">
        <x:v>SessionGuard consulta /auth/session; backend valida assinatura/expiração; mobile armazena access e refresh token com renovação serializada.</x:v>
      </x:c>
      <x:c r="G19" s="8" t="str">
        <x:v>Implementado</x:v>
      </x:c>
      <x:c r="H19" s="8" t="str">
        <x:v>Sessões antigas emitidas antes do refresh podem exigir novo login; comportamento real deve ser validado nos microsserviços publicados.</x:v>
      </x:c>
      <x:c r="I19" s="8" t="str">
        <x:v>Testar expiração, revogação, logout e indisponibilidade em homologação.</x:v>
      </x:c>
      <x:c r="J19" s="9" t="str"/>
      <x:c r="K19" s="10" t="str"/>
      <x:c r="L19" s="8" t="str">
        <x:v>Não validado</x:v>
      </x:c>
      <x:c r="M19" s="8" t="str">
        <x:v>Alta</x:v>
      </x:c>
      <x:c r="N19" s="2"/>
      <x:c r="O19" s="8" t="str">
        <x:v>mobile/src/services/tokenStorage.ts; mobile/src/services/api.ts; components/SessionGuard.tsx; backend/src/middlewares/verifyToken.ts</x:v>
      </x:c>
      <x:c r="P19" s="8" t="str">
        <x:v>Código atual backend/mobile e testes locais; novo risco da revisão</x:v>
      </x:c>
    </x:row>
    <x:row r="20">
      <x:c r="A20" s="8" t="n">
        <x:v>15</x:v>
      </x:c>
      <x:c r="B20" s="8" t="str">
        <x:v>Injeção NoSQL em payloads e consultas</x:v>
      </x:c>
      <x:c r="C20" s="8" t="str">
        <x:v>POSSÍVEL</x:v>
      </x:c>
      <x:c r="D20" s="8" t="str">
        <x:v>MUITO ALTO</x:v>
      </x:c>
      <x:c r="E20" s="8" t="str">
        <x:v>Entradas JSON podiam conter objetos/operadores e alterações não validadas em rotas e serviços.</x:v>
      </x:c>
      <x:c r="F20" s="8" t="str">
        <x:v>Guard recursivo bloqueia operadores/prototype keys; schemas allowlist; updates server-side; sanitizeFilter e runValidators; testes preservam texto legítimo com $ e apóstrofo.</x:v>
      </x:c>
      <x:c r="G20" s="8" t="str">
        <x:v>Implementado</x:v>
      </x:c>
      <x:c r="H20" s="8" t="str">
        <x:v>Proteção e testes automatizados locais no backend principal e serviço de posts; novas rotas devem seguir o padrão. Produção ainda não validada.</x:v>
      </x:c>
      <x:c r="I20" s="8" t="str">
        <x:v>Manter suíte de injeção no CI e revisar filtros/updates em novas rotas.</x:v>
      </x:c>
      <x:c r="J20" s="9"/>
      <x:c r="K20" s="10"/>
      <x:c r="L20" s="8" t="str">
        <x:v>Não validado</x:v>
      </x:c>
      <x:c r="M20" s="8" t="str">
        <x:v>Alta</x:v>
      </x:c>
      <x:c r="N20" s="2"/>
      <x:c r="O20" s="8" t="str">
        <x:v>backend/src/middlewares/inputGuard.ts; backend/src/middlewares/authValidators.ts; backend/src/config/mongooseSecurity.ts; services/messages-service/src/middlewares/inputGuard.ts; test/integration/noSqlInjection.spec.ts; test/integration/messagesServiceInjection.spec.ts</x:v>
      </x:c>
      <x:c r="P20" s="8" t="str">
        <x:v>Revisão PJ-20; evidência no código e testes locais</x:v>
      </x:c>
    </x:row>
    <x:row r="21">
      <x:c r="K21" s="11"/>
    </x:row>
    <x:row r="22">
      <x:c r="K22" s="11"/>
    </x:row>
    <x:row r="23">
      <x:c r="K23" s="11"/>
    </x:row>
    <x:row r="24">
      <x:c r="K24" s="11"/>
    </x:row>
    <x:row r="25">
      <x:c r="K25" s="11"/>
    </x:row>
    <x:row r="26">
      <x:c r="K26" s="11"/>
    </x:row>
    <x:row r="27">
      <x:c r="K27" s="11"/>
    </x:row>
    <x:row r="28">
      <x:c r="K28" s="11"/>
    </x:row>
    <x:row r="29">
      <x:c r="K29" s="11"/>
    </x:row>
    <x:row r="30">
      <x:c r="K30" s="11"/>
    </x:row>
    <x:row r="31">
      <x:c r="K31" s="11"/>
    </x:row>
    <x:row r="32">
      <x:c r="K32" s="11"/>
    </x:row>
    <x:row r="33">
      <x:c r="K33" s="11"/>
    </x:row>
    <x:row r="34">
      <x:c r="K34" s="11"/>
    </x:row>
    <x:row r="35">
      <x:c r="K35" s="11"/>
    </x:row>
    <x:row r="36">
      <x:c r="K36" s="11"/>
    </x:row>
    <x:row r="37">
      <x:c r="K37" s="11"/>
    </x:row>
    <x:row r="38">
      <x:c r="K38" s="11"/>
    </x:row>
    <x:row r="39">
      <x:c r="K39" s="11"/>
    </x:row>
    <x:row r="40">
      <x:c r="K40" s="11"/>
    </x:row>
    <x:row r="41">
      <x:c r="K41" s="11"/>
    </x:row>
    <x:row r="42">
      <x:c r="K42" s="11"/>
    </x:row>
    <x:row r="43">
      <x:c r="K43" s="11"/>
    </x:row>
    <x:row r="44">
      <x:c r="K44" s="11"/>
    </x:row>
    <x:row r="45">
      <x:c r="K45" s="11"/>
    </x:row>
    <x:row r="46">
      <x:c r="K46" s="11"/>
    </x:row>
    <x:row r="47">
      <x:c r="K47" s="11"/>
    </x:row>
    <x:row r="48">
      <x:c r="K48" s="11"/>
    </x:row>
    <x:row r="49">
      <x:c r="K49" s="11"/>
    </x:row>
    <x:row r="50">
      <x:c r="K50" s="11"/>
    </x:row>
    <x:row r="51">
      <x:c r="K51" s="11"/>
    </x:row>
    <x:row r="52">
      <x:c r="K52" s="11"/>
    </x:row>
    <x:row r="53">
      <x:c r="K53" s="11"/>
    </x:row>
    <x:row r="54">
      <x:c r="K54" s="11"/>
    </x:row>
    <x:row r="55">
      <x:c r="K55" s="11"/>
    </x:row>
    <x:row r="56">
      <x:c r="K56" s="11"/>
    </x:row>
    <x:row r="57">
      <x:c r="K57" s="11"/>
    </x:row>
    <x:row r="58">
      <x:c r="K58" s="11"/>
    </x:row>
    <x:row r="59">
      <x:c r="K59" s="11"/>
    </x:row>
    <x:row r="60">
      <x:c r="K60" s="11"/>
    </x:row>
    <x:row r="61">
      <x:c r="K61" s="11"/>
    </x:row>
    <x:row r="62">
      <x:c r="K62" s="11"/>
    </x:row>
    <x:row r="63">
      <x:c r="K63" s="11"/>
    </x:row>
    <x:row r="64">
      <x:c r="K64" s="11"/>
    </x:row>
    <x:row r="65">
      <x:c r="K65" s="11"/>
    </x:row>
    <x:row r="66">
      <x:c r="K66" s="11"/>
    </x:row>
    <x:row r="67">
      <x:c r="K67" s="11"/>
    </x:row>
    <x:row r="68">
      <x:c r="K68" s="11"/>
    </x:row>
    <x:row r="69">
      <x:c r="K69" s="11"/>
    </x:row>
    <x:row r="70">
      <x:c r="K70" s="11"/>
    </x:row>
    <x:row r="71">
      <x:c r="K71" s="11"/>
    </x:row>
    <x:row r="72">
      <x:c r="K72" s="11"/>
    </x:row>
    <x:row r="73">
      <x:c r="K73" s="11"/>
    </x:row>
    <x:row r="74">
      <x:c r="K74" s="11"/>
    </x:row>
    <x:row r="75">
      <x:c r="K75" s="11"/>
    </x:row>
    <x:row r="76">
      <x:c r="K76" s="11"/>
    </x:row>
    <x:row r="77">
      <x:c r="K77" s="11"/>
    </x:row>
    <x:row r="78">
      <x:c r="K78" s="11"/>
    </x:row>
    <x:row r="79">
      <x:c r="K79" s="11"/>
    </x:row>
    <x:row r="80">
      <x:c r="K80" s="11"/>
    </x:row>
    <x:row r="81">
      <x:c r="K81" s="11"/>
    </x:row>
    <x:row r="82">
      <x:c r="K82" s="11"/>
    </x:row>
    <x:row r="83">
      <x:c r="K83" s="11"/>
    </x:row>
    <x:row r="84">
      <x:c r="K84" s="11"/>
    </x:row>
    <x:row r="85">
      <x:c r="K85" s="11"/>
    </x:row>
    <x:row r="86">
      <x:c r="K86" s="11"/>
    </x:row>
    <x:row r="87">
      <x:c r="K87" s="11"/>
    </x:row>
    <x:row r="88">
      <x:c r="K88" s="11"/>
    </x:row>
    <x:row r="89">
      <x:c r="K89" s="11"/>
    </x:row>
    <x:row r="90">
      <x:c r="K90" s="11"/>
    </x:row>
    <x:row r="91">
      <x:c r="K91" s="11"/>
    </x:row>
    <x:row r="92">
      <x:c r="K92" s="11"/>
    </x:row>
    <x:row r="93">
      <x:c r="K93" s="11"/>
    </x:row>
    <x:row r="94">
      <x:c r="K94" s="11"/>
    </x:row>
    <x:row r="95">
      <x:c r="K95" s="11"/>
    </x:row>
    <x:row r="96">
      <x:c r="K96" s="11"/>
    </x:row>
    <x:row r="97">
      <x:c r="K97" s="11"/>
    </x:row>
    <x:row r="98">
      <x:c r="K98" s="11"/>
    </x:row>
    <x:row r="99">
      <x:c r="K99" s="11"/>
    </x:row>
    <x:row r="100">
      <x:c r="K100" s="11"/>
    </x:row>
    <x:row r="101">
      <x:c r="K101" s="11"/>
    </x:row>
    <x:row r="102">
      <x:c r="K102" s="11"/>
    </x:row>
    <x:row r="103">
      <x:c r="K103" s="11"/>
    </x:row>
    <x:row r="104">
      <x:c r="K104" s="11"/>
    </x:row>
    <x:row r="105">
      <x:c r="K105" s="11"/>
    </x:row>
    <x:row r="106">
      <x:c r="K106" s="11"/>
    </x:row>
    <x:row r="107">
      <x:c r="K107" s="11"/>
    </x:row>
    <x:row r="108">
      <x:c r="K108" s="11"/>
    </x:row>
    <x:row r="109">
      <x:c r="K109" s="11"/>
    </x:row>
    <x:row r="110">
      <x:c r="K110" s="11"/>
    </x:row>
    <x:row r="111">
      <x:c r="K111" s="11"/>
    </x:row>
    <x:row r="112">
      <x:c r="K112" s="11"/>
    </x:row>
    <x:row r="113">
      <x:c r="K113" s="11"/>
    </x:row>
    <x:row r="114">
      <x:c r="K114" s="11"/>
    </x:row>
    <x:row r="115">
      <x:c r="K115" s="11"/>
    </x:row>
    <x:row r="116">
      <x:c r="K116" s="11"/>
    </x:row>
    <x:row r="117">
      <x:c r="K117" s="11"/>
    </x:row>
    <x:row r="118">
      <x:c r="K118" s="11"/>
    </x:row>
    <x:row r="119">
      <x:c r="K119" s="11"/>
    </x:row>
    <x:row r="120">
      <x:c r="K120" s="11"/>
    </x:row>
    <x:row r="121">
      <x:c r="K121" s="11"/>
    </x:row>
    <x:row r="122">
      <x:c r="K122" s="11"/>
    </x:row>
    <x:row r="123">
      <x:c r="K123" s="11"/>
    </x:row>
    <x:row r="124">
      <x:c r="K124" s="11"/>
    </x:row>
    <x:row r="125">
      <x:c r="K125" s="11"/>
    </x:row>
    <x:row r="126">
      <x:c r="K126" s="11"/>
    </x:row>
    <x:row r="127">
      <x:c r="K127" s="11"/>
    </x:row>
    <x:row r="128">
      <x:c r="K128" s="11"/>
    </x:row>
    <x:row r="129">
      <x:c r="K129" s="11"/>
    </x:row>
    <x:row r="130">
      <x:c r="K130" s="11"/>
    </x:row>
    <x:row r="131">
      <x:c r="K131" s="11"/>
    </x:row>
    <x:row r="132">
      <x:c r="K132" s="11"/>
    </x:row>
    <x:row r="133">
      <x:c r="K133" s="11"/>
    </x:row>
    <x:row r="134">
      <x:c r="K134" s="11"/>
    </x:row>
    <x:row r="135">
      <x:c r="K135" s="11"/>
    </x:row>
    <x:row r="136">
      <x:c r="K136" s="11"/>
    </x:row>
    <x:row r="137">
      <x:c r="K137" s="11"/>
    </x:row>
    <x:row r="138">
      <x:c r="K138" s="11"/>
    </x:row>
    <x:row r="139">
      <x:c r="K139" s="11"/>
    </x:row>
    <x:row r="140">
      <x:c r="K140" s="11"/>
    </x:row>
    <x:row r="141">
      <x:c r="K141" s="11"/>
    </x:row>
    <x:row r="142">
      <x:c r="K142" s="11"/>
    </x:row>
    <x:row r="143">
      <x:c r="K143" s="11"/>
    </x:row>
    <x:row r="144">
      <x:c r="K144" s="11"/>
    </x:row>
    <x:row r="145">
      <x:c r="K145" s="11"/>
    </x:row>
    <x:row r="146">
      <x:c r="K146" s="11"/>
    </x:row>
    <x:row r="147">
      <x:c r="K147" s="11"/>
    </x:row>
    <x:row r="148">
      <x:c r="K148" s="11"/>
    </x:row>
    <x:row r="149">
      <x:c r="K149" s="11"/>
    </x:row>
    <x:row r="150">
      <x:c r="K150" s="11"/>
    </x:row>
    <x:row r="151">
      <x:c r="K151" s="11"/>
    </x:row>
    <x:row r="152">
      <x:c r="K152" s="11"/>
    </x:row>
    <x:row r="153">
      <x:c r="K153" s="11"/>
    </x:row>
    <x:row r="154">
      <x:c r="K154" s="11"/>
    </x:row>
    <x:row r="155">
      <x:c r="K155" s="11"/>
    </x:row>
    <x:row r="156">
      <x:c r="K156" s="11"/>
    </x:row>
    <x:row r="157">
      <x:c r="K157" s="11"/>
    </x:row>
    <x:row r="158">
      <x:c r="K158" s="11"/>
    </x:row>
    <x:row r="159">
      <x:c r="K159" s="11"/>
    </x:row>
    <x:row r="160">
      <x:c r="K160" s="11"/>
    </x:row>
    <x:row r="161">
      <x:c r="K161" s="11"/>
    </x:row>
    <x:row r="162">
      <x:c r="K162" s="11"/>
    </x:row>
    <x:row r="163">
      <x:c r="K163" s="11"/>
    </x:row>
    <x:row r="164">
      <x:c r="K164" s="11"/>
    </x:row>
    <x:row r="165">
      <x:c r="K165" s="11"/>
    </x:row>
    <x:row r="166">
      <x:c r="K166" s="11"/>
    </x:row>
    <x:row r="167">
      <x:c r="K167" s="11"/>
    </x:row>
    <x:row r="168">
      <x:c r="K168" s="11"/>
    </x:row>
    <x:row r="169">
      <x:c r="K169" s="11"/>
    </x:row>
    <x:row r="170">
      <x:c r="K170" s="11"/>
    </x:row>
    <x:row r="171">
      <x:c r="K171" s="11"/>
    </x:row>
    <x:row r="172">
      <x:c r="K172" s="11"/>
    </x:row>
    <x:row r="173">
      <x:c r="K173" s="11"/>
    </x:row>
    <x:row r="174">
      <x:c r="K174" s="11"/>
    </x:row>
    <x:row r="175">
      <x:c r="K175" s="11"/>
    </x:row>
    <x:row r="176">
      <x:c r="K176" s="11"/>
    </x:row>
    <x:row r="177">
      <x:c r="K177" s="11"/>
    </x:row>
    <x:row r="178">
      <x:c r="K178" s="11"/>
    </x:row>
    <x:row r="179">
      <x:c r="K179" s="11"/>
    </x:row>
    <x:row r="180">
      <x:c r="K180" s="11"/>
    </x:row>
    <x:row r="181">
      <x:c r="K181" s="11"/>
    </x:row>
    <x:row r="182">
      <x:c r="K182" s="11"/>
    </x:row>
    <x:row r="183">
      <x:c r="K183" s="11"/>
    </x:row>
    <x:row r="184">
      <x:c r="K184" s="11"/>
    </x:row>
    <x:row r="185">
      <x:c r="K185" s="11"/>
    </x:row>
    <x:row r="186">
      <x:c r="K186" s="11"/>
    </x:row>
    <x:row r="187">
      <x:c r="K187" s="11"/>
    </x:row>
    <x:row r="188">
      <x:c r="K188" s="11"/>
    </x:row>
    <x:row r="189">
      <x:c r="K189" s="11"/>
    </x:row>
    <x:row r="190">
      <x:c r="K190" s="11"/>
    </x:row>
    <x:row r="191">
      <x:c r="K191" s="11"/>
    </x:row>
    <x:row r="192">
      <x:c r="K192" s="11"/>
    </x:row>
    <x:row r="193">
      <x:c r="K193" s="11"/>
    </x:row>
    <x:row r="194">
      <x:c r="K194" s="11"/>
    </x:row>
    <x:row r="195">
      <x:c r="K195" s="11"/>
    </x:row>
    <x:row r="196">
      <x:c r="K196" s="11"/>
    </x:row>
    <x:row r="197">
      <x:c r="K197" s="11"/>
    </x:row>
    <x:row r="198">
      <x:c r="K198" s="11"/>
    </x:row>
    <x:row r="199">
      <x:c r="K199" s="11"/>
    </x:row>
    <x:row r="200">
      <x:c r="K200" s="11"/>
    </x:row>
    <x:row r="201">
      <x:c r="K201" s="11"/>
    </x:row>
    <x:row r="202">
      <x:c r="K202" s="11"/>
    </x:row>
    <x:row r="203">
      <x:c r="K203" s="11"/>
    </x:row>
    <x:row r="204">
      <x:c r="K204" s="11"/>
    </x:row>
    <x:row r="205">
      <x:c r="K205" s="11"/>
    </x:row>
  </x:sheetData>
  <x:conditionalFormatting sqref="G21:G205">
    <x:cfRule type="containsText" dxfId="0" priority="1" operator="containsText" text="Implementado"/>
    <x:cfRule type="containsText" dxfId="1" priority="2" operator="containsText" text="Parcial"/>
    <x:cfRule type="containsText" dxfId="2" priority="3" operator="containsText" text="Não identificado"/>
  </x:conditionalFormatting>
  <x:conditionalFormatting sqref="L21:L205">
    <x:cfRule type="containsText" dxfId="3" priority="4" operator="containsText" text="Reprovado"/>
  </x:conditionalFormatting>
  <x:conditionalFormatting sqref="G6:G20">
    <x:cfRule type="containsText" dxfId="8" priority="5" operator="containsText" text="Implementado"/>
    <x:cfRule type="containsText" dxfId="9" priority="6" operator="containsText" text="Parcial"/>
    <x:cfRule type="containsText" dxfId="10" priority="7" operator="containsText" text="Não identificado"/>
    <x:cfRule type="containsText" dxfId="11" priority="8" operator="containsText" text="Não validado"/>
  </x:conditionalFormatting>
  <x:conditionalFormatting sqref="L6:L20">
    <x:cfRule type="containsText" dxfId="12" priority="9" operator="containsText" text="Implementado"/>
    <x:cfRule type="containsText" dxfId="13" priority="10" operator="containsText" text="Parcial"/>
    <x:cfRule type="containsText" dxfId="14" priority="11" operator="containsText" text="Não identificado"/>
    <x:cfRule type="containsText" dxfId="15" priority="12" operator="containsText" text="Não validado"/>
  </x:conditionalFormatting>
  <x:dataValidations count="3">
    <x:dataValidation type="list" sqref="G6:G205">
      <x:formula1>"Implementado,Parcial,Não identificado"</x:formula1>
    </x:dataValidation>
    <x:dataValidation type="list" sqref="L6:L205">
      <x:formula1>"Não validado,Aprovado,Reprovado"</x:formula1>
    </x:dataValidation>
    <x:dataValidation type="list" sqref="M6:M205">
      <x:formula1>"Alta,Média,Baixa"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00bdcb2bc1416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60" hidden="0" customWidth="1"/>
    <x:col min="3" max="3" width="24" hidden="0" customWidth="1"/>
    <x:col min="4" max="4" width="66" hidden="0" customWidth="1"/>
    <x:col min="5" max="5" width="22" hidden="0" customWidth="1"/>
    <x:col min="6" max="6" width="18" hidden="0" customWidth="1"/>
    <x:col min="7" max="7" width="22" hidden="0" customWidth="1"/>
    <x:col min="8" max="8" width="6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CHECKLIST DE VALIDAÇÃO</x:v>
      </x:c>
      <x:c r="B2" s="2"/>
      <x:c r="C2" s="2"/>
      <x:c r="D2" s="2"/>
      <x:c r="E2" s="2"/>
      <x:c r="F2" s="2"/>
      <x:c r="G2" s="2"/>
      <x:c r="H2" s="2"/>
    </x:row>
    <x:row r="3">
      <x:c r="A3" s="2" t="str">
        <x:v>Resultados locais existentes não comprovam implantação. Testes de produção devem usar contas de demonstração e plano de testes autorizado.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7" t="str">
        <x:v>ID risco</x:v>
      </x:c>
      <x:c r="B5" s="7" t="str">
        <x:v>Teste / aceite</x:v>
      </x:c>
      <x:c r="C5" s="7" t="str">
        <x:v>Resultado</x:v>
      </x:c>
      <x:c r="D5" s="7" t="str">
        <x:v>Evidência / limite</x:v>
      </x:c>
      <x:c r="E5" s="7" t="str">
        <x:v>Responsável</x:v>
      </x:c>
      <x:c r="F5" s="7" t="str">
        <x:v>Data do teste</x:v>
      </x:c>
      <x:c r="G5" s="7" t="str">
        <x:v>Ambiente</x:v>
      </x:c>
      <x:c r="H5" s="7" t="str">
        <x:v>Próximo passo</x:v>
      </x:c>
    </x:row>
    <x:row r="6" ht="64" customHeight="1">
      <x:c r="A6" s="8" t="n">
        <x:v>1</x:v>
      </x:c>
      <x:c r="B6" s="8" t="str">
        <x:v>Confirmar limite de login, HTTP 429 e recuperação após a janela.</x:v>
      </x:c>
      <x:c r="C6" s="8" t="str">
        <x:v>Aprovado local</x:v>
      </x:c>
      <x:c r="D6" s="8" t="str">
        <x:v>Testes da suíte de rate limit e login executados localmente.</x:v>
      </x:c>
      <x:c r="E6" s="9"/>
      <x:c r="F6" s="10" t="d">
        <x:v>2026-10-26T12:00:00.000Z</x:v>
      </x:c>
      <x:c r="G6" s="8" t="str">
        <x:v>Local isolado</x:v>
      </x:c>
      <x:c r="H6" s="8" t="str">
        <x:v>Testar limitação distribuída e deploy.</x:v>
      </x:c>
    </x:row>
    <x:row r="7" ht="64" customHeight="1">
      <x:c r="A7" s="8" t="n">
        <x:v>2</x:v>
      </x:c>
      <x:c r="B7" s="8" t="str">
        <x:v>Exportar somente dados próprios e excluir dados vinculados.</x:v>
      </x:c>
      <x:c r="C7" s="8" t="str">
        <x:v>Aprovado local</x:v>
      </x:c>
      <x:c r="D7" s="8" t="str">
        <x:v>test/integration/lgpd.spec.ts cobre exportação e exclusão; não equivale à validação de backups/produção.</x:v>
      </x:c>
      <x:c r="E7" s="9"/>
      <x:c r="F7" s="10" t="d">
        <x:v>2026-10-26T12:00:00.000Z</x:v>
      </x:c>
      <x:c r="G7" s="8" t="str">
        <x:v>Local isolado</x:v>
      </x:c>
      <x:c r="H7" s="8" t="str">
        <x:v>Validar no mobile e nos serviços externos.</x:v>
      </x:c>
    </x:row>
    <x:row r="8" ht="64" customHeight="1">
      <x:c r="A8" s="8" t="n">
        <x:v>3</x:v>
      </x:c>
      <x:c r="B8" s="8" t="str">
        <x:v>Recusar CPF inválido no cadastro ONG.</x:v>
      </x:c>
      <x:c r="C8" s="8" t="str">
        <x:v>Aprovado local</x:v>
      </x:c>
      <x:c r="D8" s="8" t="str">
        <x:v>test/integration/noSqlInjection.spec.ts e messagesServiceInjection.spec.ts.</x:v>
      </x:c>
      <x:c r="E8" s="9"/>
      <x:c r="F8" s="10" t="d">
        <x:v>2026-10-26T12:00:00.000Z</x:v>
      </x:c>
      <x:c r="G8" s="8" t="str">
        <x:v>Local isolado</x:v>
      </x:c>
      <x:c r="H8" s="8" t="str">
        <x:v>Manter cobertura nos novos endpoints.</x:v>
      </x:c>
    </x:row>
    <x:row r="9" ht="64" customHeight="1">
      <x:c r="A9" s="8" t="n">
        <x:v>4</x:v>
      </x:c>
      <x:c r="B9" s="8" t="str">
        <x:v>Negar rotas administrativas a usuários sem permissão.</x:v>
      </x:c>
      <x:c r="C9" s="8" t="str">
        <x:v>Aprovado local</x:v>
      </x:c>
      <x:c r="D9" s="8" t="str">
        <x:v>test/integration/userController.spec.ts valida RBAC JWT e recusa admin_key em query.</x:v>
      </x:c>
      <x:c r="E9" s="9"/>
      <x:c r="F9" s="10" t="d">
        <x:v>2026-10-26T12:00:00.000Z</x:v>
      </x:c>
      <x:c r="G9" s="8" t="str">
        <x:v>Local isolado</x:v>
      </x:c>
      <x:c r="H9" s="8" t="str">
        <x:v>Remover header legado e validar homologação.</x:v>
      </x:c>
    </x:row>
    <x:row r="10" ht="64" customHeight="1">
      <x:c r="A10" s="8" t="n">
        <x:v>5</x:v>
      </x:c>
      <x:c r="B10" s="8" t="str">
        <x:v>Rastrear ações críticas sem registrar senhas ou códigos.</x:v>
      </x:c>
      <x:c r="C10" s="8" t="str">
        <x:v>Aprovado local</x:v>
      </x:c>
      <x:c r="D10" s="8" t="str">
        <x:v>Testes unitários do AuditLogService; eventos sem payload sensível.</x:v>
      </x:c>
      <x:c r="E10" s="9"/>
      <x:c r="F10" s="10" t="d">
        <x:v>2026-10-26T12:00:00.000Z</x:v>
      </x:c>
      <x:c r="G10" s="8" t="str">
        <x:v>Local isolado</x:v>
      </x:c>
      <x:c r="H10" s="8" t="str">
        <x:v>Revisar cobertura de eventos e política de acesso.</x:v>
      </x:c>
    </x:row>
    <x:row r="11" ht="64" customHeight="1">
      <x:c r="A11" s="8" t="n">
        <x:v>6</x:v>
      </x:c>
      <x:c r="B11" s="8" t="str">
        <x:v>Renovar sessão com rotação e rejeitar refresh reutilizado.</x:v>
      </x:c>
      <x:c r="C11" s="8" t="str">
        <x:v>Aprovado local</x:v>
      </x:c>
      <x:c r="D11" s="8" t="str">
        <x:v>test/integration/refreshToken.spec.ts cobre hash, rotação, reutilização, expiração e revogação.</x:v>
      </x:c>
      <x:c r="E11" s="9"/>
      <x:c r="F11" s="10" t="d">
        <x:v>2026-10-26T12:00:00.000Z</x:v>
      </x:c>
      <x:c r="G11" s="8" t="str">
        <x:v>Local isolado</x:v>
      </x:c>
      <x:c r="H11" s="8" t="str">
        <x:v>Atualizar web e testar com segredos de homologação.</x:v>
      </x:c>
    </x:row>
    <x:row r="12" ht="64" customHeight="1">
      <x:c r="A12" s="8" t="n">
        <x:v>7</x:v>
      </x:c>
      <x:c r="B12" s="8" t="str">
        <x:v>Exigir confirmação e tratar link expirado/reutilizado.</x:v>
      </x:c>
      <x:c r="C12" s="8" t="str">
        <x:v>Não executado</x:v>
      </x:c>
      <x:c r="D12" s="8" t="str">
        <x:v>Fluxo de confirmação de e-mail não implementado; depende de provedor de envio.</x:v>
      </x:c>
      <x:c r="E12" s="9" t="str"/>
      <x:c r="F12" s="10" t="str"/>
      <x:c r="G12" s="8" t="str">
        <x:v>A definir</x:v>
      </x:c>
      <x:c r="H12" s="8" t="str">
        <x:v>Reconciliar código e configuração de envio.</x:v>
      </x:c>
    </x:row>
    <x:row r="13" ht="64" customHeight="1">
      <x:c r="A13" s="8" t="n">
        <x:v>8</x:v>
      </x:c>
      <x:c r="B13" s="8" t="str">
        <x:v>Comprovar proteção em repouso e ocultação de CPF no perfil.</x:v>
      </x:c>
      <x:c r="C13" s="8" t="str">
        <x:v>Aprovado local</x:v>
      </x:c>
      <x:c r="D13" s="8" t="str">
        <x:v>test/unit/cpfProtection.spec.ts cobre cifra, busca e falhas sem chaves.</x:v>
      </x:c>
      <x:c r="E13" s="9"/>
      <x:c r="F13" s="10" t="d">
        <x:v>2026-10-26T12:00:00.000Z</x:v>
      </x:c>
      <x:c r="G13" s="8" t="str">
        <x:v>Local isolado</x:v>
      </x:c>
      <x:c r="H13" s="8" t="str">
        <x:v>Migrar banco somente após gestão segura de chaves.</x:v>
      </x:c>
    </x:row>
    <x:row r="14" ht="64" customHeight="1">
      <x:c r="A14" s="8" t="n">
        <x:v>9</x:v>
      </x:c>
      <x:c r="B14" s="8" t="str">
        <x:v>Conferir CSP, proteção de frames e demais headers publicados.</x:v>
      </x:c>
      <x:c r="C14" s="8" t="str">
        <x:v>Aprovado local</x:v>
      </x:c>
      <x:c r="D14" s="8" t="str">
        <x:v>test/integration/securityHeaders.spec.ts cobre os cabeçalhos configurados.</x:v>
      </x:c>
      <x:c r="E14" s="9"/>
      <x:c r="F14" s="10" t="d">
        <x:v>2026-10-26T12:00:00.000Z</x:v>
      </x:c>
      <x:c r="G14" s="8" t="str">
        <x:v>Local isolado</x:v>
      </x:c>
      <x:c r="H14" s="8" t="str">
        <x:v>Verificar resposta publicada.</x:v>
      </x:c>
    </x:row>
    <x:row r="15" ht="64" customHeight="1">
      <x:c r="A15" s="8" t="n">
        <x:v>10</x:v>
      </x:c>
      <x:c r="B15" s="8" t="str">
        <x:v>Identificar versão, autor e horário de uma alteração de dados.</x:v>
      </x:c>
      <x:c r="C15" s="8" t="str">
        <x:v>Não executado</x:v>
      </x:c>
      <x:c r="D15" s="8" t="str">
        <x:v>timestamps e authVersion são controles distintos.</x:v>
      </x:c>
      <x:c r="E15" s="9" t="str"/>
      <x:c r="F15" s="10" t="str"/>
      <x:c r="G15" s="8" t="str">
        <x:v>A definir</x:v>
      </x:c>
      <x:c r="H15" s="8" t="str">
        <x:v>Implementar histórico conforme necessidade.</x:v>
      </x:c>
    </x:row>
    <x:row r="16" ht="64" customHeight="1">
      <x:c r="A16" s="8" t="n">
        <x:v>11</x:v>
      </x:c>
      <x:c r="B16" s="8" t="str">
        <x:v>Detectar indisponibilidade do banco e dos serviços dependentes.</x:v>
      </x:c>
      <x:c r="C16" s="8" t="str">
        <x:v>Aprovado local</x:v>
      </x:c>
      <x:c r="D16" s="8" t="str">
        <x:v>test/integration/health.spec.ts verifica banco desconectado e readiness.</x:v>
      </x:c>
      <x:c r="E16" s="9"/>
      <x:c r="F16" s="10" t="d">
        <x:v>2026-10-26T12:00:00.000Z</x:v>
      </x:c>
      <x:c r="G16" s="8" t="str">
        <x:v>Local isolado</x:v>
      </x:c>
      <x:c r="H16" s="8" t="str">
        <x:v>Cadastrar health check externo.</x:v>
      </x:c>
    </x:row>
    <x:row r="17" ht="64" customHeight="1">
      <x:c r="A17" s="8" t="n">
        <x:v>12</x:v>
      </x:c>
      <x:c r="B17" s="8" t="str">
        <x:v>Recuperar cold start sem duplicar operações de escrita.</x:v>
      </x:c>
      <x:c r="C17" s="8" t="str">
        <x:v>Parcial</x:v>
      </x:c>
      <x:c r="D17" s="8" t="str">
        <x:v>Renovação por refresh validada; retry/backoff de cold start ainda pendente.</x:v>
      </x:c>
      <x:c r="E17" s="9" t="str"/>
      <x:c r="F17" s="10" t="str"/>
      <x:c r="G17" s="8" t="str">
        <x:v>Local isolado</x:v>
      </x:c>
      <x:c r="H17" s="8" t="str">
        <x:v>Implementar retry GET com espera exponencial e testar rede/cold start.</x:v>
      </x:c>
    </x:row>
    <x:row r="18" ht="64" customHeight="1">
      <x:c r="A18" s="8" t="n">
        <x:v>13</x:v>
      </x:c>
      <x:c r="B18" s="8" t="str">
        <x:v>Só criar sessão depois da confirmação do desafio MFA.</x:v>
      </x:c>
      <x:c r="C18" s="8" t="str">
        <x:v>Parcial</x:v>
      </x:c>
      <x:c r="D18" s="8" t="str">
        <x:v>test/integration/mfa.spec.ts cobre TOTP, recovery, bloqueio e revogação no backend; login mobile usa TOTP, faltam recovery UI e validação do app.</x:v>
      </x:c>
      <x:c r="E18" s="9"/>
      <x:c r="F18" s="10" t="d">
        <x:v>2026-10-26T12:00:00.000Z</x:v>
      </x:c>
      <x:c r="G18" s="8" t="str">
        <x:v>Local isolado</x:v>
      </x:c>
      <x:c r="H18" s="8" t="str">
        <x:v>Integrar a API mobile e validar o fluxo completo.</x:v>
      </x:c>
    </x:row>
    <x:row r="19" ht="64" customHeight="1">
      <x:c r="A19" s="8" t="n">
        <x:v>14</x:v>
      </x:c>
      <x:c r="B19" s="8" t="str">
        <x:v>Bloquear ausência de token e preservar sessão renovada.</x:v>
      </x:c>
      <x:c r="C19" s="8" t="str">
        <x:v>Aprovado local</x:v>
      </x:c>
      <x:c r="D19" s="8" t="str">
        <x:v>Testes locais de sessão, refresh e revogação; não inclui verificação de microsserviços publicados.</x:v>
      </x:c>
      <x:c r="E19" s="9" t="str"/>
      <x:c r="F19" s="10" t="d">
        <x:v>2026-10-26T12:00:00.000Z</x:v>
      </x:c>
      <x:c r="G19" s="8" t="str">
        <x:v>Local isolado</x:v>
      </x:c>
      <x:c r="H19" s="8" t="str">
        <x:v>Validar expiração/revogação em homologação e sincronizar frontend web.</x:v>
      </x:c>
    </x:row>
    <x:row r="20">
      <x:c r="A20" s="8" t="n">
        <x:v>15</x:v>
      </x:c>
      <x:c r="B20" s="8" t="str">
        <x:v>Enviar operadores MongoDB e objetos em campos de texto; confirmar rejeição 400 e aceitação de texto legítimo.</x:v>
      </x:c>
      <x:c r="C20" s="8" t="str">
        <x:v>Aprovado local</x:v>
      </x:c>
      <x:c r="D20" s="8" t="str">
        <x:v>Testes de injeção e regressão passam na suíte local.</x:v>
      </x:c>
      <x:c r="E20" s="9"/>
      <x:c r="F20" s="10" t="d">
        <x:v>2026-10-26T12:00:00.000Z</x:v>
      </x:c>
      <x:c r="G20" s="8" t="str">
        <x:v>Local isolado</x:v>
      </x:c>
      <x:c r="H20" s="8" t="str">
        <x:v>Replicar no CI e homologação.</x:v>
      </x:c>
    </x:row>
    <x:row r="21">
      <x:c r="F21" s="11"/>
    </x:row>
    <x:row r="22">
      <x:c r="F22" s="11"/>
    </x:row>
    <x:row r="23">
      <x:c r="F23" s="11"/>
    </x:row>
    <x:row r="24">
      <x:c r="F24" s="11"/>
    </x:row>
    <x:row r="25">
      <x:c r="F25" s="11"/>
    </x:row>
    <x:row r="26">
      <x:c r="F26" s="11"/>
    </x:row>
    <x:row r="27">
      <x:c r="F27" s="11"/>
    </x:row>
    <x:row r="28">
      <x:c r="F28" s="11"/>
    </x:row>
    <x:row r="29">
      <x:c r="F29" s="11"/>
    </x:row>
    <x:row r="30">
      <x:c r="F30" s="11"/>
    </x:row>
    <x:row r="31">
      <x:c r="F31" s="11"/>
    </x:row>
    <x:row r="32">
      <x:c r="F32" s="11"/>
    </x:row>
    <x:row r="33">
      <x:c r="F33" s="11"/>
    </x:row>
    <x:row r="34">
      <x:c r="F34" s="11"/>
    </x:row>
    <x:row r="35">
      <x:c r="F35" s="11"/>
    </x:row>
    <x:row r="36">
      <x:c r="F36" s="11"/>
    </x:row>
    <x:row r="37">
      <x:c r="F37" s="11"/>
    </x:row>
    <x:row r="38">
      <x:c r="F38" s="11"/>
    </x:row>
    <x:row r="39">
      <x:c r="F39" s="11"/>
    </x:row>
    <x:row r="40">
      <x:c r="F40" s="11"/>
    </x:row>
    <x:row r="41">
      <x:c r="F41" s="11"/>
    </x:row>
    <x:row r="42">
      <x:c r="F42" s="11"/>
    </x:row>
    <x:row r="43">
      <x:c r="F43" s="11"/>
    </x:row>
    <x:row r="44">
      <x:c r="F44" s="11"/>
    </x:row>
    <x:row r="45">
      <x:c r="F45" s="11"/>
    </x:row>
    <x:row r="46">
      <x:c r="F46" s="11"/>
    </x:row>
    <x:row r="47">
      <x:c r="F47" s="11"/>
    </x:row>
    <x:row r="48">
      <x:c r="F48" s="11"/>
    </x:row>
    <x:row r="49">
      <x:c r="F49" s="11"/>
    </x:row>
    <x:row r="50">
      <x:c r="F50" s="11"/>
    </x:row>
    <x:row r="51">
      <x:c r="F51" s="11"/>
    </x:row>
    <x:row r="52">
      <x:c r="F52" s="11"/>
    </x:row>
    <x:row r="53">
      <x:c r="F53" s="11"/>
    </x:row>
    <x:row r="54">
      <x:c r="F54" s="11"/>
    </x:row>
    <x:row r="55">
      <x:c r="F55" s="11"/>
    </x:row>
    <x:row r="56">
      <x:c r="F56" s="11"/>
    </x:row>
    <x:row r="57">
      <x:c r="F57" s="11"/>
    </x:row>
    <x:row r="58">
      <x:c r="F58" s="11"/>
    </x:row>
    <x:row r="59">
      <x:c r="F59" s="11"/>
    </x:row>
    <x:row r="60">
      <x:c r="F60" s="11"/>
    </x:row>
    <x:row r="61">
      <x:c r="F61" s="11"/>
    </x:row>
    <x:row r="62">
      <x:c r="F62" s="11"/>
    </x:row>
    <x:row r="63">
      <x:c r="F63" s="11"/>
    </x:row>
    <x:row r="64">
      <x:c r="F64" s="11"/>
    </x:row>
    <x:row r="65">
      <x:c r="F65" s="11"/>
    </x:row>
    <x:row r="66">
      <x:c r="F66" s="11"/>
    </x:row>
    <x:row r="67">
      <x:c r="F67" s="11"/>
    </x:row>
    <x:row r="68">
      <x:c r="F68" s="11"/>
    </x:row>
    <x:row r="69">
      <x:c r="F69" s="11"/>
    </x:row>
    <x:row r="70">
      <x:c r="F70" s="11"/>
    </x:row>
    <x:row r="71">
      <x:c r="F71" s="11"/>
    </x:row>
    <x:row r="72">
      <x:c r="F72" s="11"/>
    </x:row>
    <x:row r="73">
      <x:c r="F73" s="11"/>
    </x:row>
    <x:row r="74">
      <x:c r="F74" s="11"/>
    </x:row>
    <x:row r="75">
      <x:c r="F75" s="11"/>
    </x:row>
    <x:row r="76">
      <x:c r="F76" s="11"/>
    </x:row>
    <x:row r="77">
      <x:c r="F77" s="11"/>
    </x:row>
    <x:row r="78">
      <x:c r="F78" s="11"/>
    </x:row>
    <x:row r="79">
      <x:c r="F79" s="11"/>
    </x:row>
    <x:row r="80">
      <x:c r="F80" s="11"/>
    </x:row>
    <x:row r="81">
      <x:c r="F81" s="11"/>
    </x:row>
    <x:row r="82">
      <x:c r="F82" s="11"/>
    </x:row>
    <x:row r="83">
      <x:c r="F83" s="11"/>
    </x:row>
    <x:row r="84">
      <x:c r="F84" s="11"/>
    </x:row>
    <x:row r="85">
      <x:c r="F85" s="11"/>
    </x:row>
    <x:row r="86">
      <x:c r="F86" s="11"/>
    </x:row>
    <x:row r="87">
      <x:c r="F87" s="11"/>
    </x:row>
    <x:row r="88">
      <x:c r="F88" s="11"/>
    </x:row>
    <x:row r="89">
      <x:c r="F89" s="11"/>
    </x:row>
    <x:row r="90">
      <x:c r="F90" s="11"/>
    </x:row>
    <x:row r="91">
      <x:c r="F91" s="11"/>
    </x:row>
    <x:row r="92">
      <x:c r="F92" s="11"/>
    </x:row>
    <x:row r="93">
      <x:c r="F93" s="11"/>
    </x:row>
    <x:row r="94">
      <x:c r="F94" s="11"/>
    </x:row>
    <x:row r="95">
      <x:c r="F95" s="11"/>
    </x:row>
    <x:row r="96">
      <x:c r="F96" s="11"/>
    </x:row>
    <x:row r="97">
      <x:c r="F97" s="11"/>
    </x:row>
    <x:row r="98">
      <x:c r="F98" s="11"/>
    </x:row>
    <x:row r="99">
      <x:c r="F99" s="11"/>
    </x:row>
    <x:row r="100">
      <x:c r="F100" s="11"/>
    </x:row>
    <x:row r="101">
      <x:c r="F101" s="11"/>
    </x:row>
    <x:row r="102">
      <x:c r="F102" s="11"/>
    </x:row>
    <x:row r="103">
      <x:c r="F103" s="11"/>
    </x:row>
    <x:row r="104">
      <x:c r="F104" s="11"/>
    </x:row>
    <x:row r="105">
      <x:c r="F105" s="11"/>
    </x:row>
    <x:row r="106">
      <x:c r="F106" s="11"/>
    </x:row>
    <x:row r="107">
      <x:c r="F107" s="11"/>
    </x:row>
    <x:row r="108">
      <x:c r="F108" s="11"/>
    </x:row>
    <x:row r="109">
      <x:c r="F109" s="11"/>
    </x:row>
    <x:row r="110">
      <x:c r="F110" s="11"/>
    </x:row>
    <x:row r="111">
      <x:c r="F111" s="11"/>
    </x:row>
    <x:row r="112">
      <x:c r="F112" s="11"/>
    </x:row>
    <x:row r="113">
      <x:c r="F113" s="11"/>
    </x:row>
    <x:row r="114">
      <x:c r="F114" s="11"/>
    </x:row>
    <x:row r="115">
      <x:c r="F115" s="11"/>
    </x:row>
    <x:row r="116">
      <x:c r="F116" s="11"/>
    </x:row>
    <x:row r="117">
      <x:c r="F117" s="11"/>
    </x:row>
    <x:row r="118">
      <x:c r="F118" s="11"/>
    </x:row>
    <x:row r="119">
      <x:c r="F119" s="11"/>
    </x:row>
    <x:row r="120">
      <x:c r="F120" s="11"/>
    </x:row>
    <x:row r="121">
      <x:c r="F121" s="11"/>
    </x:row>
    <x:row r="122">
      <x:c r="F122" s="11"/>
    </x:row>
    <x:row r="123">
      <x:c r="F123" s="11"/>
    </x:row>
    <x:row r="124">
      <x:c r="F124" s="11"/>
    </x:row>
    <x:row r="125">
      <x:c r="F125" s="11"/>
    </x:row>
    <x:row r="126">
      <x:c r="F126" s="11"/>
    </x:row>
    <x:row r="127">
      <x:c r="F127" s="11"/>
    </x:row>
    <x:row r="128">
      <x:c r="F128" s="11"/>
    </x:row>
    <x:row r="129">
      <x:c r="F129" s="11"/>
    </x:row>
    <x:row r="130">
      <x:c r="F130" s="11"/>
    </x:row>
    <x:row r="131">
      <x:c r="F131" s="11"/>
    </x:row>
    <x:row r="132">
      <x:c r="F132" s="11"/>
    </x:row>
    <x:row r="133">
      <x:c r="F133" s="11"/>
    </x:row>
    <x:row r="134">
      <x:c r="F134" s="11"/>
    </x:row>
    <x:row r="135">
      <x:c r="F135" s="11"/>
    </x:row>
    <x:row r="136">
      <x:c r="F136" s="11"/>
    </x:row>
    <x:row r="137">
      <x:c r="F137" s="11"/>
    </x:row>
    <x:row r="138">
      <x:c r="F138" s="11"/>
    </x:row>
    <x:row r="139">
      <x:c r="F139" s="11"/>
    </x:row>
    <x:row r="140">
      <x:c r="F140" s="11"/>
    </x:row>
    <x:row r="141">
      <x:c r="F141" s="11"/>
    </x:row>
    <x:row r="142">
      <x:c r="F142" s="11"/>
    </x:row>
    <x:row r="143">
      <x:c r="F143" s="11"/>
    </x:row>
    <x:row r="144">
      <x:c r="F144" s="11"/>
    </x:row>
    <x:row r="145">
      <x:c r="F145" s="11"/>
    </x:row>
    <x:row r="146">
      <x:c r="F146" s="11"/>
    </x:row>
    <x:row r="147">
      <x:c r="F147" s="11"/>
    </x:row>
    <x:row r="148">
      <x:c r="F148" s="11"/>
    </x:row>
    <x:row r="149">
      <x:c r="F149" s="11"/>
    </x:row>
    <x:row r="150">
      <x:c r="F150" s="11"/>
    </x:row>
    <x:row r="151">
      <x:c r="F151" s="11"/>
    </x:row>
    <x:row r="152">
      <x:c r="F152" s="11"/>
    </x:row>
    <x:row r="153">
      <x:c r="F153" s="11"/>
    </x:row>
    <x:row r="154">
      <x:c r="F154" s="11"/>
    </x:row>
    <x:row r="155">
      <x:c r="F155" s="11"/>
    </x:row>
    <x:row r="156">
      <x:c r="F156" s="11"/>
    </x:row>
    <x:row r="157">
      <x:c r="F157" s="11"/>
    </x:row>
    <x:row r="158">
      <x:c r="F158" s="11"/>
    </x:row>
    <x:row r="159">
      <x:c r="F159" s="11"/>
    </x:row>
    <x:row r="160">
      <x:c r="F160" s="11"/>
    </x:row>
    <x:row r="161">
      <x:c r="F161" s="11"/>
    </x:row>
    <x:row r="162">
      <x:c r="F162" s="11"/>
    </x:row>
    <x:row r="163">
      <x:c r="F163" s="11"/>
    </x:row>
    <x:row r="164">
      <x:c r="F164" s="11"/>
    </x:row>
    <x:row r="165">
      <x:c r="F165" s="11"/>
    </x:row>
    <x:row r="166">
      <x:c r="F166" s="11"/>
    </x:row>
    <x:row r="167">
      <x:c r="F167" s="11"/>
    </x:row>
    <x:row r="168">
      <x:c r="F168" s="11"/>
    </x:row>
    <x:row r="169">
      <x:c r="F169" s="11"/>
    </x:row>
    <x:row r="170">
      <x:c r="F170" s="11"/>
    </x:row>
    <x:row r="171">
      <x:c r="F171" s="11"/>
    </x:row>
    <x:row r="172">
      <x:c r="F172" s="11"/>
    </x:row>
    <x:row r="173">
      <x:c r="F173" s="11"/>
    </x:row>
    <x:row r="174">
      <x:c r="F174" s="11"/>
    </x:row>
    <x:row r="175">
      <x:c r="F175" s="11"/>
    </x:row>
    <x:row r="176">
      <x:c r="F176" s="11"/>
    </x:row>
    <x:row r="177">
      <x:c r="F177" s="11"/>
    </x:row>
    <x:row r="178">
      <x:c r="F178" s="11"/>
    </x:row>
    <x:row r="179">
      <x:c r="F179" s="11"/>
    </x:row>
    <x:row r="180">
      <x:c r="F180" s="11"/>
    </x:row>
    <x:row r="181">
      <x:c r="F181" s="11"/>
    </x:row>
    <x:row r="182">
      <x:c r="F182" s="11"/>
    </x:row>
    <x:row r="183">
      <x:c r="F183" s="11"/>
    </x:row>
    <x:row r="184">
      <x:c r="F184" s="11"/>
    </x:row>
    <x:row r="185">
      <x:c r="F185" s="11"/>
    </x:row>
    <x:row r="186">
      <x:c r="F186" s="11"/>
    </x:row>
    <x:row r="187">
      <x:c r="F187" s="11"/>
    </x:row>
    <x:row r="188">
      <x:c r="F188" s="11"/>
    </x:row>
    <x:row r="189">
      <x:c r="F189" s="11"/>
    </x:row>
    <x:row r="190">
      <x:c r="F190" s="11"/>
    </x:row>
    <x:row r="191">
      <x:c r="F191" s="11"/>
    </x:row>
    <x:row r="192">
      <x:c r="F192" s="11"/>
    </x:row>
    <x:row r="193">
      <x:c r="F193" s="11"/>
    </x:row>
    <x:row r="194">
      <x:c r="F194" s="11"/>
    </x:row>
    <x:row r="195">
      <x:c r="F195" s="11"/>
    </x:row>
    <x:row r="196">
      <x:c r="F196" s="11"/>
    </x:row>
    <x:row r="197">
      <x:c r="F197" s="11"/>
    </x:row>
    <x:row r="198">
      <x:c r="F198" s="11"/>
    </x:row>
    <x:row r="199">
      <x:c r="F199" s="11"/>
    </x:row>
    <x:row r="200">
      <x:c r="F200" s="11"/>
    </x:row>
    <x:row r="201">
      <x:c r="F201" s="11"/>
    </x:row>
    <x:row r="202">
      <x:c r="F202" s="11"/>
    </x:row>
    <x:row r="203">
      <x:c r="F203" s="11"/>
    </x:row>
    <x:row r="204">
      <x:c r="F204" s="11"/>
    </x:row>
    <x:row r="205">
      <x:c r="F205" s="11"/>
    </x:row>
  </x:sheetData>
  <x:conditionalFormatting sqref="C21:C205">
    <x:cfRule type="containsText" dxfId="7" priority="1" operator="containsText" text="Reprovado"/>
  </x:conditionalFormatting>
  <x:conditionalFormatting sqref="C6:C20">
    <x:cfRule type="containsText" dxfId="16" priority="2" operator="containsText" text="Aprovado local"/>
    <x:cfRule type="containsText" dxfId="17" priority="3" operator="containsText" text="Parcial"/>
    <x:cfRule type="containsText" dxfId="18" priority="4" operator="containsText" text="Não executado"/>
  </x:conditionalFormatting>
  <x:dataValidations count="1">
    <x:dataValidation type="list" sqref="C6:C205">
      <x:formula1>"Não executado,Aprovado local,Aprovado homologação,Aprovado produção,Reprovado"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2b2c9b494f4d36"/>
  </x:tableParts>
</x:worksheet>
</file>